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d737f434d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_Audit_50" sheetId="1" r:id="R7dc51efb6af54704"/>
    <x:sheet xmlns:r="http://schemas.openxmlformats.org/officeDocument/2006/relationships" name="Image_Rights_50" sheetId="2" r:id="R16c3b92bb92544ac"/>
    <x:sheet xmlns:r="http://schemas.openxmlformats.org/officeDocument/2006/relationships" name="Live_Data_Sources" sheetId="3" r:id="R4393fd0d1be94a46"/>
    <x:sheet xmlns:r="http://schemas.openxmlformats.org/officeDocument/2006/relationships" name="Global_Architecture" sheetId="4" r:id="R263f5c7333d44d4b"/>
    <x:sheet xmlns:r="http://schemas.openxmlformats.org/officeDocument/2006/relationships" name="Rights_Policy_Notes" sheetId="5" r:id="Rf77d4c8a7b2a4aa2"/>
    <x:sheet xmlns:r="http://schemas.openxmlformats.org/officeDocument/2006/relationships" name="Dashboard" sheetId="6" r:id="R419c52f74152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6dda8908b42bf" /><Relationship Type="http://schemas.openxmlformats.org/officeDocument/2006/relationships/theme" Target="/xl/theme/theme1.xml" Id="Rfcd5befd2960424d" /><Relationship Type="http://schemas.openxmlformats.org/officeDocument/2006/relationships/sharedStrings" Target="/xl/sharedStrings.xml" Id="R4231c79522cf4dfd" /><Relationship Type="http://schemas.openxmlformats.org/officeDocument/2006/relationships/worksheet" Target="/xl/worksheets/sheet1.xml" Id="R7dc51efb6af54704" /><Relationship Type="http://schemas.openxmlformats.org/officeDocument/2006/relationships/worksheet" Target="/xl/worksheets/sheet2.xml" Id="R16c3b92bb92544ac" /><Relationship Type="http://schemas.openxmlformats.org/officeDocument/2006/relationships/worksheet" Target="/xl/worksheets/sheet3.xml" Id="R4393fd0d1be94a46" /><Relationship Type="http://schemas.openxmlformats.org/officeDocument/2006/relationships/worksheet" Target="/xl/worksheets/sheet4.xml" Id="R263f5c7333d44d4b" /><Relationship Type="http://schemas.openxmlformats.org/officeDocument/2006/relationships/worksheet" Target="/xl/worksheets/sheet5.xml" Id="Rf77d4c8a7b2a4aa2" /><Relationship Type="http://schemas.openxmlformats.org/officeDocument/2006/relationships/worksheet" Target="/xl/worksheets/sheet6.xml" Id="R419c52f7415241aa" /></Relationships>
</file>

<file path=xl/tables/table1.xml><?xml version="1.0" encoding="utf-8"?>
<x:table xmlns:x="http://schemas.openxmlformats.org/spreadsheetml/2006/main" id="1" name="PlaceAudit50Table" displayName="PlaceAudit50Table" ref="A1:S51" headerRowCount="1" totalsRowCount="0" totalsRowShown="0">
  <x:tableColumns count="19">
    <x:tableColumn id="1" name="place_code"/>
    <x:tableColumn id="2" name="name_kr"/>
    <x:tableColumn id="3" name="category"/>
    <x:tableColumn id="4" name="district"/>
    <x:tableColumn id="5" name="seed_address"/>
    <x:tableColumn id="6" name="verified_address"/>
    <x:tableColumn id="7" name="operation_state"/>
    <x:tableColumn id="8" name="current_hours"/>
    <x:tableColumn id="9" name="current_program"/>
    <x:tableColumn id="10" name="program_start"/>
    <x:tableColumn id="11" name="program_end"/>
    <x:tableColumn id="12" name="audit_status"/>
    <x:tableColumn id="13" name="launch_decision"/>
    <x:tableColumn id="14" name="checked_on"/>
    <x:tableColumn id="15" name="refresh_days"/>
    <x:tableColumn id="16" name="next_refresh_due"/>
    <x:tableColumn id="17" name="source1"/>
    <x:tableColumn id="18" name="source2"/>
    <x:tableColumn id="1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ageRights50Table" displayName="ImageRights50Table" ref="A1:L51" headerRowCount="1" totalsRowCount="0" totalsRowShown="0">
  <x:tableColumns count="12">
    <x:tableColumn id="1" name="place_code"/>
    <x:tableColumn id="2" name="name_kr"/>
    <x:tableColumn id="3" name="owner_type"/>
    <x:tableColumn id="4" name="rights_status"/>
    <x:tableColumn id="5" name="cover_strategy"/>
    <x:tableColumn id="6" name="alternative_source"/>
    <x:tableColumn id="7" name="artwork_rights_risk"/>
    <x:tableColumn id="8" name="commercial_app_rule"/>
    <x:tableColumn id="9" name="attribution_fields"/>
    <x:tableColumn id="10" name="policy_or_source_url"/>
    <x:tableColumn id="11" name="asset_selected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veDataSourcesTable" displayName="LiveDataSourcesTable" ref="A1:H12" headerRowCount="1" totalsRowCount="0" totalsRowShown="0">
  <x:tableColumns count="8">
    <x:tableColumn id="1" name="provider"/>
    <x:tableColumn id="2" name="coverage"/>
    <x:tableColumn id="3" name="best_for"/>
    <x:tableColumn id="4" name="credential"/>
    <x:tableColumn id="5" name="refresh"/>
    <x:tableColumn id="6" name="role"/>
    <x:tableColumn id="7" name="implementation_note"/>
    <x:tableColumn id="8" name="official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dd3ff58df3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aa09db34f145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76209cdeca48f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2" hidden="0" customWidth="1"/>
    <x:col min="5" max="5" width="42" hidden="0" customWidth="1"/>
    <x:col min="6" max="6" width="48" hidden="0" customWidth="1"/>
    <x:col min="7" max="7" width="34" hidden="0" customWidth="1"/>
    <x:col min="8" max="8" width="34" hidden="0" customWidth="1"/>
    <x:col min="9" max="9" width="44" hidden="0" customWidth="1"/>
    <x:col min="10" max="10" width="13" hidden="0" customWidth="1"/>
    <x:col min="11" max="11" width="13" hidden="0" customWidth="1"/>
    <x:col min="12" max="12" width="34" hidden="0" customWidth="1"/>
    <x:col min="13" max="13" width="20" hidden="0" customWidth="1"/>
    <x:col min="14" max="14" width="13" hidden="0" customWidth="1"/>
    <x:col min="15" max="15" width="12" hidden="0" customWidth="1"/>
    <x:col min="16" max="16" width="15" hidden="0" customWidth="1"/>
    <x:col min="17" max="17" width="62" hidden="0" customWidth="1"/>
    <x:col min="18" max="18" width="62" hidden="0" customWidth="1"/>
    <x:col min="19" max="19" width="60" hidden="0" customWidth="1"/>
  </x:cols>
  <x:sheetData>
    <x:row r="1">
      <x:c r="A1" s="12" t="str">
        <x:v>place_code</x:v>
      </x:c>
      <x:c r="B1" s="12" t="str">
        <x:v>name_kr</x:v>
      </x:c>
      <x:c r="C1" s="12" t="str">
        <x:v>category</x:v>
      </x:c>
      <x:c r="D1" s="12" t="str">
        <x:v>district</x:v>
      </x:c>
      <x:c r="E1" s="12" t="str">
        <x:v>seed_address</x:v>
      </x:c>
      <x:c r="F1" s="12" t="str">
        <x:v>verified_address</x:v>
      </x:c>
      <x:c r="G1" s="12" t="str">
        <x:v>operation_state</x:v>
      </x:c>
      <x:c r="H1" s="12" t="str">
        <x:v>current_hours</x:v>
      </x:c>
      <x:c r="I1" s="12" t="str">
        <x:v>current_program</x:v>
      </x:c>
      <x:c r="J1" s="12" t="str">
        <x:v>program_start</x:v>
      </x:c>
      <x:c r="K1" s="12" t="str">
        <x:v>program_end</x:v>
      </x:c>
      <x:c r="L1" s="12" t="str">
        <x:v>audit_status</x:v>
      </x:c>
      <x:c r="M1" s="12" t="str">
        <x:v>launch_decision</x:v>
      </x:c>
      <x:c r="N1" s="12" t="str">
        <x:v>checked_on</x:v>
      </x:c>
      <x:c r="O1" s="12" t="str">
        <x:v>refresh_days</x:v>
      </x:c>
      <x:c r="P1" s="12" t="str">
        <x:v>next_refresh_due</x:v>
      </x:c>
      <x:c r="Q1" s="12" t="str">
        <x:v>source1</x:v>
      </x:c>
      <x:c r="R1" s="12" t="str">
        <x:v>source2</x:v>
      </x:c>
      <x:c r="S1" s="12" t="str">
        <x:v>note</x:v>
      </x:c>
    </x:row>
    <x:row r="2">
      <x:c r="A2" s="13" t="str">
        <x:v>SEOUL001</x:v>
      </x:c>
      <x:c r="B2" s="13" t="str">
        <x:v>아뜰리에 노들</x:v>
      </x:c>
      <x:c r="C2" s="13" t="str">
        <x:v>Media Facade</x:v>
      </x:c>
      <x:c r="D2" s="13" t="str">
        <x:v>용산구</x:v>
      </x:c>
      <x:c r="E2" s="13" t="str">
        <x:v>노들섬 한강대교 하부, 서울특별시 용산구 양녕로 445 인근</x:v>
      </x:c>
      <x:c r="F2" s="13" t="str">
        <x:v>노들섬 남단 한강대교 하부 미디어파사드, 서울특별시 용산구 양녕로 445 인근</x:v>
      </x:c>
      <x:c r="G2" s="13" t="str">
        <x:v>ACTIVE_CURRENT_PROGRAM</x:v>
      </x:c>
      <x:c r="H2" s="13" t="str">
        <x:v>19:00-23:00</x:v>
      </x:c>
      <x:c r="I2" s="13" t="str">
        <x:v>아뜰리에 노들 2026 두 번째 전시 《빛이 꾸는 꿈》</x:v>
      </x:c>
      <x:c r="J2" s="13" t="str">
        <x:v>2026-09-01</x:v>
      </x:c>
      <x:c r="K2" s="13" t="str">
        <x:v>2026-10-31</x:v>
      </x:c>
      <x:c r="L2" s="13" t="str">
        <x:v>VERIFIED_CURRENT</x:v>
      </x:c>
      <x:c r="M2" s="13" t="str">
        <x:v>KEEP</x:v>
      </x:c>
      <x:c r="N2" s="14" t="str">
        <x:v>2026-09-22</x:v>
      </x:c>
      <x:c r="O2" s="13" t="n">
        <x:v>7</x:v>
      </x:c>
      <x:c r="P2" s="14" t="n">
        <x:f>DATEVALUE(N2)+O2</x:f>
        <x:v>46294</x:v>
      </x:c>
      <x:c r="Q2" s="13" t="str">
        <x:v>https://news.seoul.go.kr/culture/archives/533930</x:v>
      </x:c>
      <x:c r="R2" s="13" t="str">
        <x:v>https://www.mcst.go.kr/site/s_culture/culture/cultureView.jsp?pRo=824&amp;pSeq=74659</x:v>
      </x:c>
      <x:c r="S2" s="13" t="str">
        <x:v>현재 전시 기간·시간을 2026 자료로 재검증.</x:v>
      </x:c>
    </x:row>
    <x:row r="3">
      <x:c r="A3" s="13" t="str">
        <x:v>SEOUL002</x:v>
      </x:c>
      <x:c r="B3" s="13" t="str">
        <x:v>아뜰리에 광화</x:v>
      </x:c>
      <x:c r="C3" s="13" t="str">
        <x:v>Media Facade</x:v>
      </x:c>
      <x:c r="D3" s="13" t="str">
        <x:v>종로구</x:v>
      </x:c>
      <x:c r="E3" s="13" t="str">
        <x:v>서울특별시 종로구 세종대로 175 세종문화회관 외벽</x:v>
      </x:c>
      <x:c r="F3" s="13" t="str">
        <x:v>세종문화회관 외벽 미디어파사드, 서울특별시 종로구 세종대로 175</x:v>
      </x:c>
      <x:c r="G3" s="13" t="str">
        <x:v>ACTIVE_CURRENT_PROGRAM</x:v>
      </x:c>
      <x:c r="H3" s="13" t="str">
        <x:v>19:00-23:00</x:v>
      </x:c>
      <x:c r="I3" s="13" t="str">
        <x:v>2026 아뜰리에 광화 세 번째 전시 《물드는 빛》</x:v>
      </x:c>
      <x:c r="J3" s="13" t="str">
        <x:v>2026-09-01</x:v>
      </x:c>
      <x:c r="K3" s="13" t="str">
        <x:v>2026-11-30</x:v>
      </x:c>
      <x:c r="L3" s="13" t="str">
        <x:v>VERIFIED_CURRENT</x:v>
      </x:c>
      <x:c r="M3" s="13" t="str">
        <x:v>KEEP</x:v>
      </x:c>
      <x:c r="N3" s="14" t="str">
        <x:v>2026-09-22</x:v>
      </x:c>
      <x:c r="O3" s="13" t="n">
        <x:v>7</x:v>
      </x:c>
      <x:c r="P3" s="14" t="n">
        <x:f>DATEVALUE(N3)+O3</x:f>
        <x:v>46294</x:v>
      </x:c>
      <x:c r="Q3" s="13" t="str">
        <x:v>https://news.seoul.go.kr/culture/archives/534025</x:v>
      </x:c>
      <x:c r="R3" s="13" t="str"/>
      <x:c r="S3" s="13" t="str">
        <x:v>현재 전시·운영시간 공식 확인.</x:v>
      </x:c>
    </x:row>
    <x:row r="4">
      <x:c r="A4" s="13" t="str">
        <x:v>SEOUL003</x:v>
      </x:c>
      <x:c r="B4" s="13" t="str">
        <x:v>해치마당 미디어월</x:v>
      </x:c>
      <x:c r="C4" s="13" t="str">
        <x:v>Media Art</x:v>
      </x:c>
      <x:c r="D4" s="13" t="str">
        <x:v>종로구</x:v>
      </x:c>
      <x:c r="E4" s="13" t="str">
        <x:v>광화문광장 해치마당, 서울특별시 종로구 세종대로 일대</x:v>
      </x:c>
      <x:c r="F4" s="13" t="str">
        <x:v>광화문역 9번 출구 경사로 해치마당 미디어월, 서울특별시 종로구 세종대로 일대</x:v>
      </x:c>
      <x:c r="G4" s="13" t="str">
        <x:v>ACTIVE_CURRENT_PROGRAM</x:v>
      </x:c>
      <x:c r="H4" s="13" t="str">
        <x:v>08:00-22:00</x:v>
      </x:c>
      <x:c r="I4" s="13" t="str">
        <x:v>2026 해치마당 미디어월 세 번째 전시 《순간의 흔적》</x:v>
      </x:c>
      <x:c r="J4" s="13" t="str">
        <x:v>2026-09-01</x:v>
      </x:c>
      <x:c r="K4" s="13" t="str">
        <x:v>2026-11-30</x:v>
      </x:c>
      <x:c r="L4" s="13" t="str">
        <x:v>VERIFIED_CURRENT</x:v>
      </x:c>
      <x:c r="M4" s="13" t="str">
        <x:v>KEEP</x:v>
      </x:c>
      <x:c r="N4" s="14" t="str">
        <x:v>2026-09-22</x:v>
      </x:c>
      <x:c r="O4" s="13" t="n">
        <x:v>7</x:v>
      </x:c>
      <x:c r="P4" s="14" t="n">
        <x:f>DATEVALUE(N4)+O4</x:f>
        <x:v>46294</x:v>
      </x:c>
      <x:c r="Q4" s="13" t="str">
        <x:v>https://news.seoul.go.kr/culture/archives/534029</x:v>
      </x:c>
      <x:c r="R4" s="13" t="str"/>
      <x:c r="S4" s="13" t="str">
        <x:v>현재 전시·운영시간 공식 확인.</x:v>
      </x:c>
    </x:row>
    <x:row r="5">
      <x:c r="A5" s="13" t="str">
        <x:v>SEOUL004</x:v>
      </x:c>
      <x:c r="B5" s="13" t="str">
        <x:v>오간수교 미디어파사드</x:v>
      </x:c>
      <x:c r="C5" s="13" t="str">
        <x:v>Media Facade</x:v>
      </x:c>
      <x:c r="D5" s="13" t="str">
        <x:v>종로구/중구</x:v>
      </x:c>
      <x:c r="E5" s="13" t="str">
        <x:v>오간수교 일대, 서울특별시 종로구 종로6가·중구 흥인동 인근</x:v>
      </x:c>
      <x:c r="F5" s="13" t="str">
        <x:v>오간수교(서울특별시 종로구 율곡로 오간수문지)</x:v>
      </x:c>
      <x:c r="G5" s="13" t="str">
        <x:v>ACTIVE_CURRENT_PROGRAM</x:v>
      </x:c>
      <x:c r="H5" s="13" t="str">
        <x:v>18:00-23:00</x:v>
      </x:c>
      <x:c r="I5" s="13" t="str">
        <x:v>2026 오간수교 미디어파사드 사계2 《청계 리브(LIVE): 금빛 플로우》</x:v>
      </x:c>
      <x:c r="J5" s="13" t="str">
        <x:v>2026-09-01</x:v>
      </x:c>
      <x:c r="K5" s="13" t="str">
        <x:v>2026-12-31</x:v>
      </x:c>
      <x:c r="L5" s="13" t="str">
        <x:v>VERIFIED_CURRENT</x:v>
      </x:c>
      <x:c r="M5" s="13" t="str">
        <x:v>KEEP</x:v>
      </x:c>
      <x:c r="N5" s="14" t="str">
        <x:v>2026-09-22</x:v>
      </x:c>
      <x:c r="O5" s="13" t="n">
        <x:v>7</x:v>
      </x:c>
      <x:c r="P5" s="14" t="n">
        <x:f>DATEVALUE(N5)+O5</x:f>
        <x:v>46294</x:v>
      </x:c>
      <x:c r="Q5" s="13" t="str">
        <x:v>https://news.seoul.go.kr/culture/archives/533953</x:v>
      </x:c>
      <x:c r="R5" s="13" t="str"/>
      <x:c r="S5" s="13" t="str">
        <x:v>주소 표현과 현재 프로그램을 공식 자료로 보정.</x:v>
      </x:c>
    </x:row>
    <x:row r="6">
      <x:c r="A6" s="13" t="str">
        <x:v>SEOUL005</x:v>
      </x:c>
      <x:c r="B6" s="13" t="str">
        <x:v>서울로미디어캔버스</x:v>
      </x:c>
      <x:c r="C6" s="13" t="str">
        <x:v>Media Art</x:v>
      </x:c>
      <x:c r="D6" s="13" t="str">
        <x:v>중구</x:v>
      </x:c>
      <x:c r="E6" s="13" t="str">
        <x:v>서울특별시 중구 만리재로 215</x:v>
      </x:c>
      <x:c r="F6" s="13" t="str">
        <x:v>서울특별시 중구 만리재로 215 서울로미디어캔버스</x:v>
      </x:c>
      <x:c r="G6" s="13" t="str">
        <x:v>ACTIVE_CURRENT_PROGRAM</x:v>
      </x:c>
      <x:c r="H6" s="13" t="str">
        <x:v>19:00-23:00</x:v>
      </x:c>
      <x:c r="I6" s="13" t="str">
        <x:v>2026 서울로미디어캔버스 세 번째 전시</x:v>
      </x:c>
      <x:c r="J6" s="13" t="str">
        <x:v>2026-09-21</x:v>
      </x:c>
      <x:c r="K6" s="13" t="str">
        <x:v>2026-11-30</x:v>
      </x:c>
      <x:c r="L6" s="13" t="str">
        <x:v>VERIFIED_CURRENT</x:v>
      </x:c>
      <x:c r="M6" s="13" t="str">
        <x:v>KEEP</x:v>
      </x:c>
      <x:c r="N6" s="14" t="str">
        <x:v>2026-09-22</x:v>
      </x:c>
      <x:c r="O6" s="13" t="n">
        <x:v>7</x:v>
      </x:c>
      <x:c r="P6" s="14" t="n">
        <x:f>DATEVALUE(N6)+O6</x:f>
        <x:v>46294</x:v>
      </x:c>
      <x:c r="Q6" s="13" t="str">
        <x:v>https://news.seoul.go.kr/culture/archives/534430</x:v>
      </x:c>
      <x:c r="R6" s="13" t="str"/>
      <x:c r="S6" s="13" t="str">
        <x:v>2026-09-21 시작 전시 확인.</x:v>
      </x:c>
    </x:row>
    <x:row r="7">
      <x:c r="A7" s="13" t="str">
        <x:v>SEOUL006</x:v>
      </x:c>
      <x:c r="B7" s="13" t="str">
        <x:v>동대문디자인플라자(DDP) / 서울라이트</x:v>
      </x:c>
      <x:c r="C7" s="13" t="str">
        <x:v>Media Facade</x:v>
      </x:c>
      <x:c r="D7" s="13" t="str">
        <x:v>중구</x:v>
      </x:c>
      <x:c r="E7" s="13" t="str">
        <x:v>서울특별시 중구 을지로 281</x:v>
      </x:c>
      <x:c r="F7" s="13" t="str">
        <x:v>서울특별시 중구 을지로 281 동대문디자인플라자(DDP)</x:v>
      </x:c>
      <x:c r="G7" s="13" t="str">
        <x:v>BETWEEN_SEASONS</x:v>
      </x:c>
      <x:c r="H7" s="13" t="str">
        <x:v>시즌별 운영</x:v>
      </x:c>
      <x:c r="I7" s="13" t="str">
        <x:v>서울라이트 DDP 2026 가을 종료; 겨울·카운트다운 후속 시즌 예정</x:v>
      </x:c>
      <x:c r="J7" s="13" t="str">
        <x:v>2026-09-03</x:v>
      </x:c>
      <x:c r="K7" s="13" t="str">
        <x:v>2026-09-13</x:v>
      </x:c>
      <x:c r="L7" s="13" t="str">
        <x:v>VERIFIED_PLACE_PROGRAM_ENDED</x:v>
      </x:c>
      <x:c r="M7" s="13" t="str">
        <x:v>KEEP_NOT_NOW</x:v>
      </x:c>
      <x:c r="N7" s="14" t="str">
        <x:v>2026-09-22</x:v>
      </x:c>
      <x:c r="O7" s="13" t="n">
        <x:v>7</x:v>
      </x:c>
      <x:c r="P7" s="14" t="n">
        <x:f>DATEVALUE(N7)+O7</x:f>
        <x:v>46294</x:v>
      </x:c>
      <x:c r="Q7" s="13" t="str">
        <x:v>https://news.seoul.go.kr/culture/archives/534071</x:v>
      </x:c>
      <x:c r="R7" s="13" t="str">
        <x:v>https://scpm.seoul.go.kr/seoul-policy/evt0307</x:v>
      </x:c>
      <x:c r="S7" s="13" t="str">
        <x:v>장소는 유지하되 '지금 볼 수 있어요'에서 가을 본행사는 제외. 365라이트/후속 시즌 별도 갱신.</x:v>
      </x:c>
    </x:row>
    <x:row r="8">
      <x:c r="A8" s="13" t="str">
        <x:v>SEOUL007</x:v>
      </x:c>
      <x:c r="B8" s="13" t="str">
        <x:v>코엑스 K-POP 스퀘어 WAVE</x:v>
      </x:c>
      <x:c r="C8" s="13" t="str">
        <x:v>Media Facade</x:v>
      </x:c>
      <x:c r="D8" s="13" t="str">
        <x:v>강남구</x:v>
      </x:c>
      <x:c r="E8" s="13" t="str">
        <x:v>서울특별시 강남구 영동대로 513 코엑스</x:v>
      </x:c>
      <x:c r="F8" s="13" t="str">
        <x:v>서울특별시 강남구 영동대로 513 코엑스 K-POP 스퀘어</x:v>
      </x:c>
      <x:c r="G8" s="13" t="str">
        <x:v>ACTIVE_DISPLAY_NEEDS_SCHEDULE_REFRESH</x:v>
      </x:c>
      <x:c r="H8" s="13" t="str">
        <x:v>콘텐츠 편성 변동</x:v>
      </x:c>
      <x:c r="I8" s="13" t="str">
        <x:v>WAVE 및 순환 콘텐츠</x:v>
      </x:c>
      <x:c r="J8" s="13" t="str"/>
      <x:c r="K8" s="13" t="str"/>
      <x:c r="L8" s="13" t="str">
        <x:v>VERIFIED_PLACE_NEEDS_LIVE_REFRESH</x:v>
      </x:c>
      <x:c r="M8" s="13" t="str">
        <x:v>KEEP_WITH_WARNING</x:v>
      </x:c>
      <x:c r="N8" s="14" t="str">
        <x:v>2026-09-22</x:v>
      </x:c>
      <x:c r="O8" s="13" t="n">
        <x:v>30</x:v>
      </x:c>
      <x:c r="P8" s="14" t="n">
        <x:f>DATEVALUE(N8)+O8</x:f>
        <x:v>46317</x:v>
      </x:c>
      <x:c r="Q8" s="13" t="str">
        <x:v>https://english.visitseoul.net/area/COEXK-POPSquare/ENPnj8f9x</x:v>
      </x:c>
      <x:c r="R8" s="13" t="str"/>
      <x:c r="S8" s="13" t="str">
        <x:v>WAVE 장소·존재는 확인. 작품 편성은 라이브 소스로 갱신 권장.</x:v>
      </x:c>
    </x:row>
    <x:row r="9">
      <x:c r="A9" s="13" t="str">
        <x:v>SEOUL008</x:v>
      </x:c>
      <x:c r="B9" s="13" t="str">
        <x:v>신세계스퀘어</x:v>
      </x:c>
      <x:c r="C9" s="13" t="str">
        <x:v>Media Facade</x:v>
      </x:c>
      <x:c r="D9" s="13" t="str">
        <x:v>중구</x:v>
      </x:c>
      <x:c r="E9" s="13" t="str">
        <x:v>서울특별시 중구 소공로 63 신세계백화점 본점</x:v>
      </x:c>
      <x:c r="F9" s="13" t="str">
        <x:v>서울특별시 중구 소공로 63 신세계백화점 본점</x:v>
      </x:c>
      <x:c r="G9" s="13" t="str">
        <x:v>ACTIVE_DISPLAY_NEEDS_SCHEDULE_REFRESH</x:v>
      </x:c>
      <x:c r="H9" s="13" t="str">
        <x:v>편성 변동</x:v>
      </x:c>
      <x:c r="I9" s="13" t="str">
        <x:v>시즌·브랜드·미디어아트 순환 콘텐츠</x:v>
      </x:c>
      <x:c r="J9" s="13" t="str"/>
      <x:c r="K9" s="13" t="str"/>
      <x:c r="L9" s="13" t="str">
        <x:v>VERIFIED_PLACE_NEEDS_LIVE_REFRESH</x:v>
      </x:c>
      <x:c r="M9" s="13" t="str">
        <x:v>KEEP_WITH_WARNING</x:v>
      </x:c>
      <x:c r="N9" s="14" t="str">
        <x:v>2026-09-22</x:v>
      </x:c>
      <x:c r="O9" s="13" t="n">
        <x:v>30</x:v>
      </x:c>
      <x:c r="P9" s="14" t="n">
        <x:f>DATEVALUE(N9)+O9</x:f>
        <x:v>46317</x:v>
      </x:c>
      <x:c r="Q9" s="13" t="str">
        <x:v>https://www.shinsegaegroupnewsroom.com/shinsegae-square-seoul-new-landmark/</x:v>
      </x:c>
      <x:c r="R9" s="13" t="str"/>
      <x:c r="S9" s="13" t="str">
        <x:v>상설 대형 스크린은 유지. 미디어아트/광고 편성은 분리 표시.</x:v>
      </x:c>
    </x:row>
    <x:row r="10">
      <x:c r="A10" s="13" t="str">
        <x:v>SEOUL009</x:v>
      </x:c>
      <x:c r="B10" s="13" t="str">
        <x:v>갤러리아 명품관 WEST 미디어파사드</x:v>
      </x:c>
      <x:c r="C10" s="13" t="str">
        <x:v>Media Facade</x:v>
      </x:c>
      <x:c r="D10" s="13" t="str">
        <x:v>강남구</x:v>
      </x:c>
      <x:c r="E10" s="13" t="str">
        <x:v>서울특별시 강남구 압구정로 407</x:v>
      </x:c>
      <x:c r="F10" s="13" t="str">
        <x:v>서울특별시 강남구 압구정로 343 갤러리아 명품관 WEST</x:v>
      </x:c>
      <x:c r="G10" s="13" t="str">
        <x:v>ACTIVE_ARCHITECTURAL_MEDIA</x:v>
      </x:c>
      <x:c r="H10" s="13" t="str">
        <x:v>야간 중심·편성 변동</x:v>
      </x:c>
      <x:c r="I10" s="13" t="str">
        <x:v>상설 외관 LED 영상</x:v>
      </x:c>
      <x:c r="J10" s="13" t="str"/>
      <x:c r="K10" s="13" t="str"/>
      <x:c r="L10" s="13" t="str">
        <x:v>VERIFIED_ADDRESS_CORRECTED</x:v>
      </x:c>
      <x:c r="M10" s="13" t="str">
        <x:v>KEEP</x:v>
      </x:c>
      <x:c r="N10" s="14" t="str">
        <x:v>2026-09-22</x:v>
      </x:c>
      <x:c r="O10" s="13" t="n">
        <x:v>90</x:v>
      </x:c>
      <x:c r="P10" s="14" t="n">
        <x:f>DATEVALUE(N10)+O10</x:f>
        <x:v>46377</x:v>
      </x:c>
      <x:c r="Q10" s="13" t="str">
        <x:v>https://dept.galleria.co.kr/store-info/luxuryhall/way/by-public-transportation</x:v>
      </x:c>
      <x:c r="R10" s="13" t="str"/>
      <x:c r="S10" s="13" t="str">
        <x:v>기존 407은 EAST 주소. WEST는 공식적으로 압구정로 343으로 정정.</x:v>
      </x:c>
    </x:row>
    <x:row r="11">
      <x:c r="A11" s="13" t="str">
        <x:v>SEOUL010</x:v>
      </x:c>
      <x:c r="B11" s="13" t="str">
        <x:v>서울스퀘어 미디어 캔버스</x:v>
      </x:c>
      <x:c r="C11" s="13" t="str">
        <x:v>Media Facade</x:v>
      </x:c>
      <x:c r="D11" s="13" t="str">
        <x:v>중구</x:v>
      </x:c>
      <x:c r="E11" s="13" t="str">
        <x:v>서울특별시 중구 한강대로 416</x:v>
      </x:c>
      <x:c r="F11" s="13" t="str">
        <x:v>서울특별시 중구 한강대로 416 서울스퀘어</x:v>
      </x:c>
      <x:c r="G11" s="13" t="str">
        <x:v>PLACE_ACTIVE_MEDIA_SCHEDULE_UNVERIFIED</x:v>
      </x:c>
      <x:c r="H11" s="13" t="str">
        <x:v>현재 미디어캔버스 편성 재확인 필요</x:v>
      </x:c>
      <x:c r="I11" s="13" t="str">
        <x:v>미디어아트 송출 편성 확인 필요</x:v>
      </x:c>
      <x:c r="J11" s="13" t="str"/>
      <x:c r="K11" s="13" t="str"/>
      <x:c r="L11" s="13" t="str">
        <x:v>PARTIAL_NEEDS_OPERATOR_CONFIRMATION</x:v>
      </x:c>
      <x:c r="M11" s="13" t="str">
        <x:v>KEEP_WITH_WARNING</x:v>
      </x:c>
      <x:c r="N11" s="14" t="str">
        <x:v>2026-09-22</x:v>
      </x:c>
      <x:c r="O11" s="13" t="n">
        <x:v>14</x:v>
      </x:c>
      <x:c r="P11" s="14" t="n">
        <x:f>DATEVALUE(N11)+O11</x:f>
        <x:v>46301</x:v>
      </x:c>
      <x:c r="Q11" s="13" t="str">
        <x:v>https://junglim.com/en/seoul-square/</x:v>
      </x:c>
      <x:c r="R11" s="13" t="str"/>
      <x:c r="S11" s="13" t="str">
        <x:v>건축/미디어캔버스 정체성은 확인되나 현재 송출 스케줄은 별도 확인 필요.</x:v>
      </x:c>
    </x:row>
    <x:row r="12">
      <x:c r="A12" s="13" t="str">
        <x:v>SEOUL011</x:v>
      </x:c>
      <x:c r="B12" s="13" t="str">
        <x:v>KT스퀘어 옥외전광판</x:v>
      </x:c>
      <x:c r="C12" s="13" t="str">
        <x:v>Media Facade</x:v>
      </x:c>
      <x:c r="D12" s="13" t="str">
        <x:v>종로구</x:v>
      </x:c>
      <x:c r="E12" s="13" t="str">
        <x:v>KT 광화문 사옥, 서울특별시 종로구 종로 일대</x:v>
      </x:c>
      <x:c r="F12" s="13" t="str">
        <x:v>KT 광화문 사옥 일대, 서울특별시 종로구 종로</x:v>
      </x:c>
      <x:c r="G12" s="13" t="str">
        <x:v>DISPLAY_ACTIVE_ART_PROGRAM_ENDED</x:v>
      </x:c>
      <x:c r="H12" s="13" t="str">
        <x:v>상업 전광판 상시·예술 편성 비정기</x:v>
      </x:c>
      <x:c r="I12" s="13" t="str">
        <x:v>2026 미디어아트 서울×키아프 특별전 종료</x:v>
      </x:c>
      <x:c r="J12" s="13" t="str">
        <x:v>2026-09-01</x:v>
      </x:c>
      <x:c r="K12" s="13" t="str">
        <x:v>2026-09-19</x:v>
      </x:c>
      <x:c r="L12" s="13" t="str">
        <x:v>VERIFIED_EVENT_ENDED</x:v>
      </x:c>
      <x:c r="M12" s="13" t="str">
        <x:v>KEEP</x:v>
      </x:c>
      <x:c r="N12" s="14" t="str">
        <x:v>2026-09-22</x:v>
      </x:c>
      <x:c r="O12" s="13" t="n">
        <x:v>14</x:v>
      </x:c>
      <x:c r="P12" s="14" t="n">
        <x:f>DATEVALUE(N12)+O12</x:f>
        <x:v>46301</x:v>
      </x:c>
      <x:c r="Q12" s="13" t="str">
        <x:v>https://www.seoul.go.kr/news/news_report.do?nttNo=464925</x:v>
      </x:c>
      <x:c r="R12" s="13" t="str">
        <x:v>https://mediahub.seoul.go.kr/archives/2019284</x:v>
      </x:c>
      <x:c r="S12" s="13" t="str">
        <x:v>스크린과 예술 프로그램을 별도 상태로 관리.</x:v>
      </x:c>
    </x:row>
    <x:row r="13">
      <x:c r="A13" s="13" t="str">
        <x:v>SEOUL012</x:v>
      </x:c>
      <x:c r="B13" s="13" t="str">
        <x:v>K-비전(코리아나호텔)</x:v>
      </x:c>
      <x:c r="C13" s="13" t="str">
        <x:v>Media Facade</x:v>
      </x:c>
      <x:c r="D13" s="13" t="str">
        <x:v>중구</x:v>
      </x:c>
      <x:c r="E13" s="13" t="str">
        <x:v>서울특별시 중구 세종대로 135 코리아나호텔</x:v>
      </x:c>
      <x:c r="F13" s="13" t="str">
        <x:v>서울특별시 중구 세종대로 135 코리아나호텔 외벽 K-비전</x:v>
      </x:c>
      <x:c r="G13" s="13" t="str">
        <x:v>DISPLAY_ACTIVE_ART_PROGRAM_ENDED</x:v>
      </x:c>
      <x:c r="H13" s="13" t="str">
        <x:v>상업 전광판 상시·예술 편성 비정기</x:v>
      </x:c>
      <x:c r="I13" s="13" t="str">
        <x:v>2026 미디어아트 서울×키아프 특별전 종료</x:v>
      </x:c>
      <x:c r="J13" s="13" t="str">
        <x:v>2026-09-01</x:v>
      </x:c>
      <x:c r="K13" s="13" t="str">
        <x:v>2026-09-19</x:v>
      </x:c>
      <x:c r="L13" s="13" t="str">
        <x:v>VERIFIED_EVENT_ENDED</x:v>
      </x:c>
      <x:c r="M13" s="13" t="str">
        <x:v>KEEP</x:v>
      </x:c>
      <x:c r="N13" s="14" t="str">
        <x:v>2026-09-22</x:v>
      </x:c>
      <x:c r="O13" s="13" t="n">
        <x:v>14</x:v>
      </x:c>
      <x:c r="P13" s="14" t="n">
        <x:f>DATEVALUE(N13)+O13</x:f>
        <x:v>46301</x:v>
      </x:c>
      <x:c r="Q13" s="13" t="str">
        <x:v>https://www.seoul.go.kr/news/news_report.do?nttNo=464925</x:v>
      </x:c>
      <x:c r="R13" s="13" t="str"/>
      <x:c r="S13" s="13" t="str">
        <x:v>예술 특별전은 종료. DOOH 화면 자체와 미디어아트 현재 상영을 혼동하지 않도록 분리.</x:v>
      </x:c>
    </x:row>
    <x:row r="14">
      <x:c r="A14" s="13" t="str">
        <x:v>SEOUL013</x:v>
      </x:c>
      <x:c r="B14" s="13" t="str">
        <x:v>루미 미디어(세광빌딩)</x:v>
      </x:c>
      <x:c r="C14" s="13" t="str">
        <x:v>Media Facade</x:v>
      </x:c>
      <x:c r="D14" s="13" t="str">
        <x:v>종로구/중구</x:v>
      </x:c>
      <x:c r="E14" s="13" t="str">
        <x:v>세광빌딩, 서울특별시 광화문 일대</x:v>
      </x:c>
      <x:c r="F14" s="13" t="str">
        <x:v>세광빌딩 광화문 자유표시구역 내 루미미디어</x:v>
      </x:c>
      <x:c r="G14" s="13" t="str">
        <x:v>DISPLAY_ACTIVE_ART_PROGRAM_ENDED</x:v>
      </x:c>
      <x:c r="H14" s="13" t="str">
        <x:v>상업 전광판 상시·예술 편성 비정기</x:v>
      </x:c>
      <x:c r="I14" s="13" t="str">
        <x:v>2026 미디어아트 서울×키아프 특별전 종료</x:v>
      </x:c>
      <x:c r="J14" s="13" t="str">
        <x:v>2026-09-01</x:v>
      </x:c>
      <x:c r="K14" s="13" t="str">
        <x:v>2026-09-19</x:v>
      </x:c>
      <x:c r="L14" s="13" t="str">
        <x:v>VERIFIED_EVENT_ENDED_ADDRESS_NEEDS_PRECISION</x:v>
      </x:c>
      <x:c r="M14" s="13" t="str">
        <x:v>KEEP_WITH_WARNING</x:v>
      </x:c>
      <x:c r="N14" s="14" t="str">
        <x:v>2026-09-22</x:v>
      </x:c>
      <x:c r="O14" s="13" t="n">
        <x:v>14</x:v>
      </x:c>
      <x:c r="P14" s="14" t="n">
        <x:f>DATEVALUE(N14)+O14</x:f>
        <x:v>46301</x:v>
      </x:c>
      <x:c r="Q14" s="13" t="str">
        <x:v>https://www.seoul.go.kr/news/news_report.do?nttNo=464925</x:v>
      </x:c>
      <x:c r="R14" s="13" t="str"/>
      <x:c r="S14" s="13" t="str">
        <x:v>전광판 존재는 확인. 정확한 도로명주소는 지도 제공자 ID 연결 후 확정 권장.</x:v>
      </x:c>
    </x:row>
    <x:row r="15">
      <x:c r="A15" s="13" t="str">
        <x:v>SEOUL014</x:v>
      </x:c>
      <x:c r="B15" s="13" t="str">
        <x:v>LUUX(동아일보)</x:v>
      </x:c>
      <x:c r="C15" s="13" t="str">
        <x:v>Media Facade</x:v>
      </x:c>
      <x:c r="D15" s="13" t="str">
        <x:v>종로구</x:v>
      </x:c>
      <x:c r="E15" s="13" t="str">
        <x:v>동아일보 사옥, 서울특별시 종로구 청계천로 일대</x:v>
      </x:c>
      <x:c r="F15" s="13" t="str">
        <x:v>동아미디어센터 외벽 LUUX, 서울특별시 종로구 청계천로 일대</x:v>
      </x:c>
      <x:c r="G15" s="13" t="str">
        <x:v>DISPLAY_ACTIVE_ART_PROGRAM_ENDED</x:v>
      </x:c>
      <x:c r="H15" s="13" t="str">
        <x:v>상업 전광판 상시·예술 편성 비정기</x:v>
      </x:c>
      <x:c r="I15" s="13" t="str">
        <x:v>2026 미디어아트 서울×키아프 특별전 종료</x:v>
      </x:c>
      <x:c r="J15" s="13" t="str">
        <x:v>2026-09-01</x:v>
      </x:c>
      <x:c r="K15" s="13" t="str">
        <x:v>2026-09-19</x:v>
      </x:c>
      <x:c r="L15" s="13" t="str">
        <x:v>VERIFIED_EVENT_ENDED_ADDRESS_NEEDS_PRECISION</x:v>
      </x:c>
      <x:c r="M15" s="13" t="str">
        <x:v>KEEP_WITH_WARNING</x:v>
      </x:c>
      <x:c r="N15" s="14" t="str">
        <x:v>2026-09-22</x:v>
      </x:c>
      <x:c r="O15" s="13" t="n">
        <x:v>14</x:v>
      </x:c>
      <x:c r="P15" s="14" t="n">
        <x:f>DATEVALUE(N15)+O15</x:f>
        <x:v>46301</x:v>
      </x:c>
      <x:c r="Q15" s="13" t="str">
        <x:v>https://www.seoul.go.kr/news/news_report.do?nttNo=464925</x:v>
      </x:c>
      <x:c r="R15" s="13" t="str"/>
      <x:c r="S15" s="13" t="str">
        <x:v>특별전 종료. 정확한 스크린 좌표는 POI provider와 매칭.</x:v>
      </x:c>
    </x:row>
    <x:row r="16">
      <x:c r="A16" s="13" t="str">
        <x:v>SEOUL015</x:v>
      </x:c>
      <x:c r="B16" s="13" t="str">
        <x:v>일민미술관 옥외전광판</x:v>
      </x:c>
      <x:c r="C16" s="13" t="str">
        <x:v>Media Facade</x:v>
      </x:c>
      <x:c r="D16" s="13" t="str">
        <x:v>종로구</x:v>
      </x:c>
      <x:c r="E16" s="13" t="str">
        <x:v>서울특별시 종로구 세종대로 152 일민미술관</x:v>
      </x:c>
      <x:c r="F16" s="13" t="str">
        <x:v>서울특별시 종로구 세종대로 152 일민미술관</x:v>
      </x:c>
      <x:c r="G16" s="13" t="str">
        <x:v>MUSEUM_ACTIVE_DISPLAY_ART_PROGRAM_ROTATES</x:v>
      </x:c>
      <x:c r="H16" s="13" t="str">
        <x:v>미술관/전광판 별도 편성</x:v>
      </x:c>
      <x:c r="I16" s="13" t="str">
        <x:v>미술관 현재 전시 《바이브 에라》, 《오프 더 화이트: 무늬와 정보》; 옥외 미디어 편성은 별도</x:v>
      </x:c>
      <x:c r="J16" s="13" t="str">
        <x:v>2026-09-01</x:v>
      </x:c>
      <x:c r="K16" s="13" t="str">
        <x:v>2026-09-19</x:v>
      </x:c>
      <x:c r="L16" s="13" t="str">
        <x:v>VERIFIED_PLACE_CURRENT_MUSEUM</x:v>
      </x:c>
      <x:c r="M16" s="13" t="str">
        <x:v>KEEP</x:v>
      </x:c>
      <x:c r="N16" s="14" t="str">
        <x:v>2026-09-22</x:v>
      </x:c>
      <x:c r="O16" s="13" t="n">
        <x:v>14</x:v>
      </x:c>
      <x:c r="P16" s="14" t="n">
        <x:f>DATEVALUE(N16)+O16</x:f>
        <x:v>46301</x:v>
      </x:c>
      <x:c r="Q16" s="13" t="str">
        <x:v>https://ilmin.org/</x:v>
      </x:c>
      <x:c r="R16" s="13" t="str">
        <x:v>https://www.seoul.go.kr/news/news_report.do?nttNo=464925</x:v>
      </x:c>
      <x:c r="S16" s="13" t="str">
        <x:v>미술관 운영과 옥외전광판 예술 편성을 분리 저장.</x:v>
      </x:c>
    </x:row>
    <x:row r="17">
      <x:c r="A17" s="13" t="str">
        <x:v>SEOUL016</x:v>
      </x:c>
      <x:c r="B17" s="13" t="str">
        <x:v>서울로봇인공지능과학관 미디어파사드</x:v>
      </x:c>
      <x:c r="C17" s="13" t="str">
        <x:v>Media Facade</x:v>
      </x:c>
      <x:c r="D17" s="13" t="str">
        <x:v>도봉구</x:v>
      </x:c>
      <x:c r="E17" s="13" t="str">
        <x:v>서울특별시 도봉구 마들로13길 56</x:v>
      </x:c>
      <x:c r="F17" s="13" t="str">
        <x:v>서울특별시 도봉구 마들로13길 56 서울로봇인공지능과학관</x:v>
      </x:c>
      <x:c r="G17" s="13" t="str">
        <x:v>ACTIVE_CURRENT_PROGRAM</x:v>
      </x:c>
      <x:c r="H17" s="13" t="str">
        <x:v>9~10월 20:00-22:00 / 11~12월 19:00-21:00</x:v>
      </x:c>
      <x:c r="I17" s="13" t="str">
        <x:v>SEOUL RAIM: ROBOT CITY</x:v>
      </x:c>
      <x:c r="J17" s="13" t="str">
        <x:v>2026-08-28</x:v>
      </x:c>
      <x:c r="K17" s="13" t="str">
        <x:v>2026-12-05</x:v>
      </x:c>
      <x:c r="L17" s="13" t="str">
        <x:v>VERIFIED_CURRENT</x:v>
      </x:c>
      <x:c r="M17" s="13" t="str">
        <x:v>KEEP</x:v>
      </x:c>
      <x:c r="N17" s="14" t="str">
        <x:v>2026-09-22</x:v>
      </x:c>
      <x:c r="O17" s="13" t="n">
        <x:v>7</x:v>
      </x:c>
      <x:c r="P17" s="14" t="n">
        <x:f>DATEVALUE(N17)+O17</x:f>
        <x:v>46294</x:v>
      </x:c>
      <x:c r="Q17" s="13" t="str">
        <x:v>https://science.seoul.go.kr/RAIM/bbsctt/view.do?bbscttSn=2609010004&amp;key=2304100017</x:v>
      </x:c>
      <x:c r="R17" s="13" t="str">
        <x:v>https://science.seoul.go.kr/RAIM/content.do?key=2304100009</x:v>
      </x:c>
      <x:c r="S17" s="13" t="str">
        <x:v>15분 간격 상영·외부 자유관람 확인.</x:v>
      </x:c>
    </x:row>
    <x:row r="18">
      <x:c r="A18" s="13" t="str">
        <x:v>SEOUL017</x:v>
      </x:c>
      <x:c r="B18" s="13" t="str">
        <x:v>마곡 르웨스트 미디어파사드</x:v>
      </x:c>
      <x:c r="C18" s="13" t="str">
        <x:v>Media Facade</x:v>
      </x:c>
      <x:c r="D18" s="13" t="str">
        <x:v>강서구</x:v>
      </x:c>
      <x:c r="E18" s="13" t="str">
        <x:v>마곡 르웨스트, 서울특별시 강서구 마곡나루역 인근</x:v>
      </x:c>
      <x:c r="F18" s="13" t="str">
        <x:v>마곡 르웨스트, 서울특별시 강서구 마곡나루역 인근</x:v>
      </x:c>
      <x:c r="G18" s="13" t="str">
        <x:v>PLACE_ACTIVE_MEDIA_DETAILS_NEED_OPERATOR</x:v>
      </x:c>
      <x:c r="H18" s="13" t="str">
        <x:v>편성 변동</x:v>
      </x:c>
      <x:c r="I18" s="13" t="str">
        <x:v>2026 미디어파사드 콘텐츠 사례 확인</x:v>
      </x:c>
      <x:c r="J18" s="13" t="str"/>
      <x:c r="K18" s="13" t="str"/>
      <x:c r="L18" s="13" t="str">
        <x:v>PARTIAL_NEEDS_OPERATOR_CONFIRMATION</x:v>
      </x:c>
      <x:c r="M18" s="13" t="str">
        <x:v>KEEP_WITH_WARNING</x:v>
      </x:c>
      <x:c r="N18" s="14" t="str">
        <x:v>2026-09-22</x:v>
      </x:c>
      <x:c r="O18" s="13" t="n">
        <x:v>30</x:v>
      </x:c>
      <x:c r="P18" s="14" t="n">
        <x:f>DATEVALUE(N18)+O18</x:f>
        <x:v>46317</x:v>
      </x:c>
      <x:c r="Q18" s="13" t="str">
        <x:v>https://www.museaward.com/winner-info.php?id=238243</x:v>
      </x:c>
      <x:c r="R18" s="13" t="str"/>
      <x:c r="S18" s="13" t="str">
        <x:v>설치 사례는 확인되나 운영 편성·정확한 출입 위치를 운영사로 재확인 권장.</x:v>
      </x:c>
    </x:row>
    <x:row r="19">
      <x:c r="A19" s="13" t="str">
        <x:v>SEOUL018</x:v>
      </x:c>
      <x:c r="B19" s="13" t="str">
        <x:v>롯데월드타워 미디어파사드</x:v>
      </x:c>
      <x:c r="C19" s="13" t="str">
        <x:v>Media Facade</x:v>
      </x:c>
      <x:c r="D19" s="13" t="str">
        <x:v>송파구</x:v>
      </x:c>
      <x:c r="E19" s="13" t="str">
        <x:v>서울특별시 송파구 올림픽로 300</x:v>
      </x:c>
      <x:c r="F19" s="13" t="str">
        <x:v>서울특별시 송파구 올림픽로 300 롯데월드타워</x:v>
      </x:c>
      <x:c r="G19" s="13" t="str">
        <x:v>ACTIVE_EVENT_BASED</x:v>
      </x:c>
      <x:c r="H19" s="13" t="str">
        <x:v>이벤트별 변동</x:v>
      </x:c>
      <x:c r="I19" s="13" t="str">
        <x:v>2026 시즌 미디어아트 콘텐츠 운영 사례 확인</x:v>
      </x:c>
      <x:c r="J19" s="13" t="str"/>
      <x:c r="K19" s="13" t="str"/>
      <x:c r="L19" s="13" t="str">
        <x:v>VERIFIED_PLACE_NEEDS_LIVE_REFRESH</x:v>
      </x:c>
      <x:c r="M19" s="13" t="str">
        <x:v>KEEP_WITH_WARNING</x:v>
      </x:c>
      <x:c r="N19" s="14" t="str">
        <x:v>2026-09-22</x:v>
      </x:c>
      <x:c r="O19" s="13" t="n">
        <x:v>14</x:v>
      </x:c>
      <x:c r="P19" s="14" t="n">
        <x:f>DATEVALUE(N19)+O19</x:f>
        <x:v>46301</x:v>
      </x:c>
      <x:c r="Q19" s="13" t="str">
        <x:v>https://www.lwt.co.kr/</x:v>
      </x:c>
      <x:c r="R19" s="13" t="str"/>
      <x:c r="S19" s="13" t="str">
        <x:v>초고층 미디어/조명은 이벤트성. 현재 콘텐츠는 공식 일정 동기화 필요.</x:v>
      </x:c>
    </x:row>
    <x:row r="20">
      <x:c r="A20" s="13" t="str">
        <x:v>SEOUL019</x:v>
      </x:c>
      <x:c r="B20" s="13" t="str">
        <x:v>롯데타운 라이트(영플라자)</x:v>
      </x:c>
      <x:c r="C20" s="13" t="str">
        <x:v>Media Facade</x:v>
      </x:c>
      <x:c r="D20" s="13" t="str">
        <x:v>중구</x:v>
      </x:c>
      <x:c r="E20" s="13" t="str">
        <x:v>서울특별시 중구 남대문로 81 롯데백화점 본점 영플라자</x:v>
      </x:c>
      <x:c r="F20" s="13" t="str">
        <x:v>서울특별시 중구 남대문로 81 롯데백화점 본점 영플라자</x:v>
      </x:c>
      <x:c r="G20" s="13" t="str">
        <x:v>UPCOMING</x:v>
      </x:c>
      <x:c r="H20" s="13" t="str">
        <x:v>2026년 12월 공개 예정</x:v>
      </x:c>
      <x:c r="I20" s="13" t="str">
        <x:v>롯데타운 라이트</x:v>
      </x:c>
      <x:c r="J20" s="13" t="str">
        <x:v>2026-12-01</x:v>
      </x:c>
      <x:c r="K20" s="13" t="str"/>
      <x:c r="L20" s="13" t="str">
        <x:v>UPCOMING_NOT_LAUNCH_ACTIVE</x:v>
      </x:c>
      <x:c r="M20" s="13" t="str">
        <x:v>KEEP_UPCOMING</x:v>
      </x:c>
      <x:c r="N20" s="14" t="str">
        <x:v>2026-09-22</x:v>
      </x:c>
      <x:c r="O20" s="13" t="n">
        <x:v>14</x:v>
      </x:c>
      <x:c r="P20" s="14" t="n">
        <x:f>DATEVALUE(N20)+O20</x:f>
        <x:v>46301</x:v>
      </x:c>
      <x:c r="Q20" s="13" t="str">
        <x:v>https://www.lotteshopping.com/</x:v>
      </x:c>
      <x:c r="R20" s="13" t="str"/>
      <x:c r="S20" s="13" t="str">
        <x:v>오픈 전이므로 '현재 관람 가능' 제외.</x:v>
      </x:c>
    </x:row>
    <x:row r="21">
      <x:c r="A21" s="13" t="str">
        <x:v>SEOUL020</x:v>
      </x:c>
      <x:c r="B21" s="13" t="str">
        <x:v>하이커 그라운드</x:v>
      </x:c>
      <x:c r="C21" s="13" t="str">
        <x:v>Media Art</x:v>
      </x:c>
      <x:c r="D21" s="13" t="str">
        <x:v>중구</x:v>
      </x:c>
      <x:c r="E21" s="13" t="str">
        <x:v>서울특별시 중구 청계천로 40</x:v>
      </x:c>
      <x:c r="F21" s="13" t="str">
        <x:v>서울특별시 중구 청계천로 40 한국관광공사 서울센터</x:v>
      </x:c>
      <x:c r="G21" s="13" t="str">
        <x:v>ACTIVE</x:v>
      </x:c>
      <x:c r="H21" s="13" t="str">
        <x:v>1·5F 10:00-20:00 / 2~4F 화~일 10:00-20:00 (공식 언어별 페이지 차이 있어 방문 전 재확인)</x:v>
      </x:c>
      <x:c r="I21" s="13" t="str">
        <x:v>HiKR Wall / HiKR Tower / K-pop Ground</x:v>
      </x:c>
      <x:c r="J21" s="13" t="str"/>
      <x:c r="K21" s="13" t="str"/>
      <x:c r="L21" s="13" t="str">
        <x:v>VERIFIED_CURRENT_PROVIDER_CONFLICT</x:v>
      </x:c>
      <x:c r="M21" s="13" t="str">
        <x:v>KEEP_WITH_WARNING</x:v>
      </x:c>
      <x:c r="N21" s="14" t="str">
        <x:v>2026-09-22</x:v>
      </x:c>
      <x:c r="O21" s="13" t="n">
        <x:v>14</x:v>
      </x:c>
      <x:c r="P21" s="14" t="n">
        <x:f>DATEVALUE(N21)+O21</x:f>
        <x:v>46301</x:v>
      </x:c>
      <x:c r="Q21" s="13" t="str">
        <x:v>https://japanese.visitkorea.or.kr/svc/contents/contentsView.do?vcontsId=31477</x:v>
      </x:c>
      <x:c r="R21" s="13" t="str">
        <x:v>https://korean.visitkorea.or.kr/detail/rem_detail.do?cotid=cafda4dd-13c9-4834-931a-927e54eda953</x:v>
      </x:c>
      <x:c r="S21" s="13" t="str">
        <x:v>공식 VisitKorea 언어/기사 간 시간 표기가 달라 live overlay를 권장.</x:v>
      </x:c>
    </x:row>
    <x:row r="22">
      <x:c r="A22" s="13" t="str">
        <x:v>SEOUL021</x:v>
      </x:c>
      <x:c r="B22" s="13" t="str">
        <x:v>청계 소울 오션</x:v>
      </x:c>
      <x:c r="C22" s="13" t="str">
        <x:v>Immersive</x:v>
      </x:c>
      <x:c r="D22" s="13" t="str">
        <x:v>중구</x:v>
      </x:c>
      <x:c r="E22" s="13" t="str">
        <x:v>서울특별시 중구 남대문로1가 청계천 광교갤러리 일대</x:v>
      </x:c>
      <x:c r="F22" s="13" t="str">
        <x:v>청계천 광교갤러리 일대, 서울특별시 중구 남대문로1가</x:v>
      </x:c>
      <x:c r="G22" s="13" t="str">
        <x:v>ACTIVE_LONG_TERM_EXHIBITION</x:v>
      </x:c>
      <x:c r="H22" s="13" t="str">
        <x:v>18:00-22:00(계절별 조정 가능)</x:v>
      </x:c>
      <x:c r="I22" s="13" t="str">
        <x:v>청계 소울 오션</x:v>
      </x:c>
      <x:c r="J22" s="13" t="str">
        <x:v>2026-05-15</x:v>
      </x:c>
      <x:c r="K22" s="13" t="str">
        <x:v>2026-12-31</x:v>
      </x:c>
      <x:c r="L22" s="13" t="str">
        <x:v>VERIFIED_SEED_OFFICIAL_SOURCE</x:v>
      </x:c>
      <x:c r="M22" s="13" t="str">
        <x:v>KEEP</x:v>
      </x:c>
      <x:c r="N22" s="14" t="str">
        <x:v>2026-09-22</x:v>
      </x:c>
      <x:c r="O22" s="13" t="n">
        <x:v>14</x:v>
      </x:c>
      <x:c r="P22" s="14" t="n">
        <x:f>DATEVALUE(N22)+O22</x:f>
        <x:v>46301</x:v>
      </x:c>
      <x:c r="Q22" s="13" t="str">
        <x:v>https://english.visitseoul.net/exhibition/CheonggyeSoulOcean/ENP20kefn</x:v>
      </x:c>
      <x:c r="R22" s="13" t="str"/>
      <x:c r="S22" s="13" t="str">
        <x:v>서울관광 공식 Seed 근거 유지. 계절 시간 조정 여부 주기 확인.</x:v>
      </x:c>
    </x:row>
    <x:row r="23">
      <x:c r="A23" s="13" t="str">
        <x:v>SEOUL022</x:v>
      </x:c>
      <x:c r="B23" s="13" t="str">
        <x:v>국립중앙박물관 디지털 실감 영상관</x:v>
      </x:c>
      <x:c r="C23" s="13" t="str">
        <x:v>Immersive</x:v>
      </x:c>
      <x:c r="D23" s="13" t="str">
        <x:v>용산구</x:v>
      </x:c>
      <x:c r="E23" s="13" t="str">
        <x:v>서울특별시 용산구 서빙고로 137</x:v>
      </x:c>
      <x:c r="F23" s="13" t="str">
        <x:v>서울특별시 용산구 서빙고로 137 국립중앙박물관</x:v>
      </x:c>
      <x:c r="G23" s="13" t="str">
        <x:v>ACTIVE_PERMANENT</x:v>
      </x:c>
      <x:c r="H23" s="13" t="str">
        <x:v>실감2관 09:30~관람 종료 30분 전; 관별 상이</x:v>
      </x:c>
      <x:c r="I23" s="13" t="str">
        <x:v>디지털 실감 영상관 1·2·3 및 상설 실감콘텐츠</x:v>
      </x:c>
      <x:c r="J23" s="13" t="str"/>
      <x:c r="K23" s="13" t="str"/>
      <x:c r="L23" s="13" t="str">
        <x:v>VERIFIED_CURRENT</x:v>
      </x:c>
      <x:c r="M23" s="13" t="str">
        <x:v>KEEP</x:v>
      </x:c>
      <x:c r="N23" s="14" t="str">
        <x:v>2026-09-22</x:v>
      </x:c>
      <x:c r="O23" s="13" t="n">
        <x:v>30</x:v>
      </x:c>
      <x:c r="P23" s="14" t="n">
        <x:f>DATEVALUE(N23)+O23</x:f>
        <x:v>46317</x:v>
      </x:c>
      <x:c r="Q23" s="13" t="str">
        <x:v>https://vcm.museum.go.kr/MUSEUM/contents/M0203010000.do</x:v>
      </x:c>
      <x:c r="R23" s="13" t="str">
        <x:v>https://vcm.museum.go.kr/MUSEUM/contents/M0203030000.do</x:v>
      </x:c>
      <x:c r="S23" s="13" t="str">
        <x:v>VR 등 일부는 예약 필요.</x:v>
      </x:c>
    </x:row>
    <x:row r="24">
      <x:c r="A24" s="13" t="str">
        <x:v>SEOUL023</x:v>
      </x:c>
      <x:c r="B24" s="13" t="str">
        <x:v>라이트룸 서울</x:v>
      </x:c>
      <x:c r="C24" s="13" t="str">
        <x:v>Immersive</x:v>
      </x:c>
      <x:c r="D24" s="13" t="str">
        <x:v>강동구</x:v>
      </x:c>
      <x:c r="E24" s="13" t="str">
        <x:v>서울특별시 강동구 아리수로61길 103</x:v>
      </x:c>
      <x:c r="F24" s="13" t="str">
        <x:v>서울특별시 강동구 아리수로61길 103 라이트룸 서울</x:v>
      </x:c>
      <x:c r="G24" s="13" t="str">
        <x:v>ACTIVE_ROTATING_TICKETED</x:v>
      </x:c>
      <x:c r="H24" s="13" t="str">
        <x:v>전시/공연 회차별 변동</x:v>
      </x:c>
      <x:c r="I24" s="13" t="str">
        <x:v>공연형 몰입 전시(현 편성은 예매 페이지 확인)</x:v>
      </x:c>
      <x:c r="J24" s="13" t="str"/>
      <x:c r="K24" s="13" t="str"/>
      <x:c r="L24" s="13" t="str">
        <x:v>VERIFIED_PLACE_NEEDS_LIVE_REFRESH</x:v>
      </x:c>
      <x:c r="M24" s="13" t="str">
        <x:v>KEEP_WITH_WARNING</x:v>
      </x:c>
      <x:c r="N24" s="14" t="str">
        <x:v>2026-09-22</x:v>
      </x:c>
      <x:c r="O24" s="13" t="n">
        <x:v>14</x:v>
      </x:c>
      <x:c r="P24" s="14" t="n">
        <x:f>DATEVALUE(N24)+O24</x:f>
        <x:v>46301</x:v>
      </x:c>
      <x:c r="Q24" s="13" t="str">
        <x:v>https://lightroomseoul.com/en/visit</x:v>
      </x:c>
      <x:c r="R24" s="13" t="str"/>
      <x:c r="S24" s="13" t="str">
        <x:v>회차제이므로 날짜·티켓 API/공식 페이지 동기화 필요.</x:v>
      </x:c>
    </x:row>
    <x:row r="25">
      <x:c r="A25" s="13" t="str">
        <x:v>SEOUL024</x:v>
      </x:c>
      <x:c r="B25" s="13" t="str">
        <x:v>서울시립 서서울미술관</x:v>
      </x:c>
      <x:c r="C25" s="13" t="str">
        <x:v>Media Art</x:v>
      </x:c>
      <x:c r="D25" s="13" t="str">
        <x:v>금천구</x:v>
      </x:c>
      <x:c r="E25" s="13" t="str">
        <x:v>서울특별시 금천구 시흥대로79길 65</x:v>
      </x:c>
      <x:c r="F25" s="13" t="str">
        <x:v>서울특별시 금천구 시흥대로79길 65 서울시립 서서울미술관</x:v>
      </x:c>
      <x:c r="G25" s="13" t="str">
        <x:v>ACTIVE</x:v>
      </x:c>
      <x:c r="H25" s="13" t="str">
        <x:v>화~금 10:00-20:00 / 주말·공휴일 3~10월 10:00-19:00, 11~2월 10:00-18:00 / 월 휴관</x:v>
      </x:c>
      <x:c r="I25" s="13" t="str">
        <x:v>김희천: 두더지들</x:v>
      </x:c>
      <x:c r="J25" s="13" t="str">
        <x:v>2026-08-20</x:v>
      </x:c>
      <x:c r="K25" s="13" t="str">
        <x:v>2026-11-08</x:v>
      </x:c>
      <x:c r="L25" s="13" t="str">
        <x:v>VERIFIED_CURRENT</x:v>
      </x:c>
      <x:c r="M25" s="13" t="str">
        <x:v>KEEP</x:v>
      </x:c>
      <x:c r="N25" s="14" t="str">
        <x:v>2026-09-22</x:v>
      </x:c>
      <x:c r="O25" s="13" t="n">
        <x:v>14</x:v>
      </x:c>
      <x:c r="P25" s="14" t="n">
        <x:f>DATEVALUE(N25)+O25</x:f>
        <x:v>46301</x:v>
      </x:c>
      <x:c r="Q25" s="13" t="str">
        <x:v>https://sema.seoul.go.kr/kr/visit/seoseoul</x:v>
      </x:c>
      <x:c r="R25" s="13" t="str">
        <x:v>https://sema.seoul.go.kr/</x:v>
      </x:c>
      <x:c r="S25" s="13" t="str">
        <x:v>주소·운영시간·현재 미디어 작가전 확인.</x:v>
      </x:c>
    </x:row>
    <x:row r="26">
      <x:c r="A26" s="13" t="str">
        <x:v>SEOUL025</x:v>
      </x:c>
      <x:c r="B26" s="13" t="str">
        <x:v>국립현대미술관 서울</x:v>
      </x:c>
      <x:c r="C26" s="13" t="str">
        <x:v>Media Art</x:v>
      </x:c>
      <x:c r="D26" s="13" t="str">
        <x:v>종로구</x:v>
      </x:c>
      <x:c r="E26" s="13" t="str">
        <x:v>서울특별시 종로구 삼청로 30</x:v>
      </x:c>
      <x:c r="F26" s="13" t="str">
        <x:v>서울특별시 종로구 삼청로 30 국립현대미술관 서울</x:v>
      </x:c>
      <x:c r="G26" s="13" t="str">
        <x:v>ACTIVE</x:v>
      </x:c>
      <x:c r="H26" s="13" t="str">
        <x:v>월·화·목·금·일 10:00-18:00 / 수·토 10:00-21:00</x:v>
      </x:c>
      <x:c r="I26" s="13" t="str">
        <x:v>MMCA×LG OLED 시리즈 2026</x:v>
      </x:c>
      <x:c r="J26" s="13" t="str">
        <x:v>2026-07-31</x:v>
      </x:c>
      <x:c r="K26" s="13" t="str">
        <x:v>2026-11-29</x:v>
      </x:c>
      <x:c r="L26" s="13" t="str">
        <x:v>VERIFIED_CURRENT</x:v>
      </x:c>
      <x:c r="M26" s="13" t="str">
        <x:v>KEEP</x:v>
      </x:c>
      <x:c r="N26" s="14" t="str">
        <x:v>2026-09-22</x:v>
      </x:c>
      <x:c r="O26" s="13" t="n">
        <x:v>14</x:v>
      </x:c>
      <x:c r="P26" s="14" t="n">
        <x:f>DATEVALUE(N26)+O26</x:f>
        <x:v>46301</x:v>
      </x:c>
      <x:c r="Q26" s="13" t="str">
        <x:v>https://www.mmca.go.kr/visitingInfo/seoulInfo.do</x:v>
      </x:c>
      <x:c r="R26" s="13" t="str"/>
      <x:c r="S26" s="13" t="str">
        <x:v>현재 전시와 운영시간 확인.</x:v>
      </x:c>
    </x:row>
    <x:row r="27">
      <x:c r="A27" s="13" t="str">
        <x:v>SEOUL026</x:v>
      </x:c>
      <x:c r="B27" s="13" t="str">
        <x:v>아트센터 나비</x:v>
      </x:c>
      <x:c r="C27" s="13" t="str">
        <x:v>Media Art</x:v>
      </x:c>
      <x:c r="D27" s="13" t="str">
        <x:v>종로구</x:v>
      </x:c>
      <x:c r="E27" s="13" t="str">
        <x:v>서울특별시 종로구 사간동(2026 신공간)</x:v>
      </x:c>
      <x:c r="F27" s="13" t="str">
        <x:v>서울특별시 종로구 사간동 아트센터 나비 신공간(정확 주소 운영사 재확인 필요)</x:v>
      </x:c>
      <x:c r="G27" s="13" t="str">
        <x:v>ACTIVE_ROTATING_UNVERIFIED_ADDRESS</x:v>
      </x:c>
      <x:c r="H27" s="13" t="str">
        <x:v>전시별 상이</x:v>
      </x:c>
      <x:c r="I27" s="13" t="str">
        <x:v>재개관 후 전시 순환(최신 프로그램 확인)</x:v>
      </x:c>
      <x:c r="J27" s="13" t="str"/>
      <x:c r="K27" s="13" t="str"/>
      <x:c r="L27" s="13" t="str">
        <x:v>PARTIAL_MANUAL_OPERATOR_CHECK</x:v>
      </x:c>
      <x:c r="M27" s="13" t="str">
        <x:v>KEEP_WITH_WARNING</x:v>
      </x:c>
      <x:c r="N27" s="14" t="str">
        <x:v>2026-09-22</x:v>
      </x:c>
      <x:c r="O27" s="13" t="n">
        <x:v>14</x:v>
      </x:c>
      <x:c r="P27" s="14" t="n">
        <x:f>DATEVALUE(N27)+O27</x:f>
        <x:v>46301</x:v>
      </x:c>
      <x:c r="Q27" s="13" t="str">
        <x:v>https://www.nabi.or.kr/</x:v>
      </x:c>
      <x:c r="R27" s="13" t="str"/>
      <x:c r="S27" s="13" t="str">
        <x:v>공식 사이트 접근/색인 문제로 주소·현재 프로그램 수동 확인 필요.</x:v>
      </x:c>
    </x:row>
    <x:row r="28">
      <x:c r="A28" s="13" t="str">
        <x:v>SEOUL027</x:v>
      </x:c>
      <x:c r="B28" s="13" t="str">
        <x:v>리움미술관</x:v>
      </x:c>
      <x:c r="C28" s="13" t="str">
        <x:v>Media Art</x:v>
      </x:c>
      <x:c r="D28" s="13" t="str">
        <x:v>용산구</x:v>
      </x:c>
      <x:c r="E28" s="13" t="str">
        <x:v>서울특별시 용산구 이태원로55길 60-16</x:v>
      </x:c>
      <x:c r="F28" s="13" t="str">
        <x:v>서울특별시 용산구 이태원로55길 60-16 리움미술관</x:v>
      </x:c>
      <x:c r="G28" s="13" t="str">
        <x:v>ACTIVE_MUSEUM</x:v>
      </x:c>
      <x:c r="H28" s="13" t="str">
        <x:v>화~일 운영(방문일 공식 페이지 확인)</x:v>
      </x:c>
      <x:c r="I28" s="13" t="str">
        <x:v>기획·상설 전시 순환</x:v>
      </x:c>
      <x:c r="J28" s="13" t="str"/>
      <x:c r="K28" s="13" t="str"/>
      <x:c r="L28" s="13" t="str">
        <x:v>VERIFIED_PLACE_NEEDS_EXHIBITION_REFRESH</x:v>
      </x:c>
      <x:c r="M28" s="13" t="str">
        <x:v>KEEP_WITH_WARNING</x:v>
      </x:c>
      <x:c r="N28" s="14" t="str">
        <x:v>2026-09-22</x:v>
      </x:c>
      <x:c r="O28" s="13" t="n">
        <x:v>30</x:v>
      </x:c>
      <x:c r="P28" s="14" t="n">
        <x:f>DATEVALUE(N28)+O28</x:f>
        <x:v>46317</x:v>
      </x:c>
      <x:c r="Q28" s="13" t="str">
        <x:v>https://www.leeumhoam.org/leeum/info/visit</x:v>
      </x:c>
      <x:c r="R28" s="13" t="str"/>
      <x:c r="S28" s="13" t="str">
        <x:v>미술관 장소는 안정적. 미디어아트 해당 전시는 별도 큐레이션 판정.</x:v>
      </x:c>
    </x:row>
    <x:row r="29">
      <x:c r="A29" s="13" t="str">
        <x:v>SEOUL028</x:v>
      </x:c>
      <x:c r="B29" s="13" t="str">
        <x:v>디뮤지엄</x:v>
      </x:c>
      <x:c r="C29" s="13" t="str">
        <x:v>Media Art</x:v>
      </x:c>
      <x:c r="D29" s="13" t="str">
        <x:v>성동구</x:v>
      </x:c>
      <x:c r="E29" s="13" t="str">
        <x:v>서울특별시 성동구 왕십리로 83-21</x:v>
      </x:c>
      <x:c r="F29" s="13" t="str">
        <x:v>서울특별시 성동구 왕십리로 83-21 디뮤지엄</x:v>
      </x:c>
      <x:c r="G29" s="13" t="str">
        <x:v>ACTIVE_ROTATING</x:v>
      </x:c>
      <x:c r="H29" s="13" t="str">
        <x:v>전시별 상이</x:v>
      </x:c>
      <x:c r="I29" s="13" t="str">
        <x:v>기획전 순환</x:v>
      </x:c>
      <x:c r="J29" s="13" t="str"/>
      <x:c r="K29" s="13" t="str"/>
      <x:c r="L29" s="13" t="str">
        <x:v>VERIFIED_PLACE_NEEDS_EXHIBITION_REFRESH</x:v>
      </x:c>
      <x:c r="M29" s="13" t="str">
        <x:v>KEEP_WITH_WARNING</x:v>
      </x:c>
      <x:c r="N29" s="14" t="str">
        <x:v>2026-09-22</x:v>
      </x:c>
      <x:c r="O29" s="13" t="n">
        <x:v>30</x:v>
      </x:c>
      <x:c r="P29" s="14" t="n">
        <x:f>DATEVALUE(N29)+O29</x:f>
        <x:v>46317</x:v>
      </x:c>
      <x:c r="Q29" s="13" t="str">
        <x:v>https://www.daelimmuseum.org/dmuseum</x:v>
      </x:c>
      <x:c r="R29" s="13" t="str"/>
      <x:c r="S29" s="13" t="str">
        <x:v>미디어아트 전용관이 아니므로 현재 전시의 적합성 필터 필요.</x:v>
      </x:c>
    </x:row>
    <x:row r="30">
      <x:c r="A30" s="13" t="str">
        <x:v>SEOUL029</x:v>
      </x:c>
      <x:c r="B30" s="13" t="str">
        <x:v>플랫폼엘 컨템포러리 아트센터</x:v>
      </x:c>
      <x:c r="C30" s="13" t="str">
        <x:v>Media Art</x:v>
      </x:c>
      <x:c r="D30" s="13" t="str">
        <x:v>강남구</x:v>
      </x:c>
      <x:c r="E30" s="13" t="str">
        <x:v>서울특별시 강남구 언주로133길 11</x:v>
      </x:c>
      <x:c r="F30" s="13" t="str">
        <x:v>서울특별시 강남구 언주로133길 11 플랫폼엘</x:v>
      </x:c>
      <x:c r="G30" s="13" t="str">
        <x:v>ACTIVE_ROTATING</x:v>
      </x:c>
      <x:c r="H30" s="13" t="str">
        <x:v>프로그램별 상이</x:v>
      </x:c>
      <x:c r="I30" s="13" t="str">
        <x:v>프로그램 순환</x:v>
      </x:c>
      <x:c r="J30" s="13" t="str"/>
      <x:c r="K30" s="13" t="str"/>
      <x:c r="L30" s="13" t="str">
        <x:v>VERIFIED_PLACE_NEEDS_EXHIBITION_REFRESH</x:v>
      </x:c>
      <x:c r="M30" s="13" t="str">
        <x:v>KEEP_WITH_WARNING</x:v>
      </x:c>
      <x:c r="N30" s="14" t="str">
        <x:v>2026-09-22</x:v>
      </x:c>
      <x:c r="O30" s="13" t="n">
        <x:v>30</x:v>
      </x:c>
      <x:c r="P30" s="14" t="n">
        <x:f>DATEVALUE(N30)+O30</x:f>
        <x:v>46317</x:v>
      </x:c>
      <x:c r="Q30" s="13" t="str">
        <x:v>https://platform-l.org/</x:v>
      </x:c>
      <x:c r="R30" s="13" t="str"/>
      <x:c r="S30" s="13" t="str">
        <x:v>프로그램 적합성 자동/에디터 분류.</x:v>
      </x:c>
    </x:row>
    <x:row r="31">
      <x:c r="A31" s="13" t="str">
        <x:v>SEOUL030</x:v>
      </x:c>
      <x:c r="B31" s="13" t="str">
        <x:v>스페이스K 서울</x:v>
      </x:c>
      <x:c r="C31" s="13" t="str">
        <x:v>Media Art</x:v>
      </x:c>
      <x:c r="D31" s="13" t="str">
        <x:v>강서구</x:v>
      </x:c>
      <x:c r="E31" s="13" t="str">
        <x:v>서울특별시 강서구 마곡중앙8로 32</x:v>
      </x:c>
      <x:c r="F31" s="13" t="str">
        <x:v>서울특별시 강서구 마곡중앙8로 32 스페이스K 서울</x:v>
      </x:c>
      <x:c r="G31" s="13" t="str">
        <x:v>ACTIVE_ROTATING</x:v>
      </x:c>
      <x:c r="H31" s="13" t="str">
        <x:v>화~일 10:00-18:00(전시별 확인)</x:v>
      </x:c>
      <x:c r="I31" s="13" t="str">
        <x:v>기획전 순환</x:v>
      </x:c>
      <x:c r="J31" s="13" t="str"/>
      <x:c r="K31" s="13" t="str"/>
      <x:c r="L31" s="13" t="str">
        <x:v>VERIFIED_PLACE_NEEDS_EXHIBITION_REFRESH</x:v>
      </x:c>
      <x:c r="M31" s="13" t="str">
        <x:v>KEEP_WITH_WARNING</x:v>
      </x:c>
      <x:c r="N31" s="14" t="str">
        <x:v>2026-09-22</x:v>
      </x:c>
      <x:c r="O31" s="13" t="n">
        <x:v>30</x:v>
      </x:c>
      <x:c r="P31" s="14" t="n">
        <x:f>DATEVALUE(N31)+O31</x:f>
        <x:v>46317</x:v>
      </x:c>
      <x:c r="Q31" s="13" t="str">
        <x:v>https://www.spacek.co.kr/</x:v>
      </x:c>
      <x:c r="R31" s="13" t="str"/>
      <x:c r="S31" s="13" t="str">
        <x:v>2026 전시 운영 확인. 현재 전시가 미디어/빛 카테고리에 적합한지는 에디터 판정.</x:v>
      </x:c>
    </x:row>
    <x:row r="32">
      <x:c r="A32" s="13" t="str">
        <x:v>SEOUL031</x:v>
      </x:c>
      <x:c r="B32" s="13" t="str">
        <x:v>문화역서울284</x:v>
      </x:c>
      <x:c r="C32" s="13" t="str">
        <x:v>Media Art</x:v>
      </x:c>
      <x:c r="D32" s="13" t="str">
        <x:v>중구</x:v>
      </x:c>
      <x:c r="E32" s="13" t="str">
        <x:v>서울특별시 중구 통일로 1</x:v>
      </x:c>
      <x:c r="F32" s="13" t="str">
        <x:v>서울특별시 중구 통일로 1 문화역서울284</x:v>
      </x:c>
      <x:c r="G32" s="13" t="str">
        <x:v>ACTIVE_WHEN_EXHIBITION</x:v>
      </x:c>
      <x:c r="H32" s="13" t="str">
        <x:v>10:00-18:00 / 월 휴관 / 전시·행사 없으면 휴관</x:v>
      </x:c>
      <x:c r="I32" s="13" t="str">
        <x:v>2026 가을 기획전 운영</x:v>
      </x:c>
      <x:c r="J32" s="13" t="str">
        <x:v>2026-09-17</x:v>
      </x:c>
      <x:c r="K32" s="13" t="str">
        <x:v>2026-11-01</x:v>
      </x:c>
      <x:c r="L32" s="13" t="str">
        <x:v>VERIFIED_CURRENT</x:v>
      </x:c>
      <x:c r="M32" s="13" t="str">
        <x:v>KEEP</x:v>
      </x:c>
      <x:c r="N32" s="14" t="str">
        <x:v>2026-09-22</x:v>
      </x:c>
      <x:c r="O32" s="13" t="n">
        <x:v>14</x:v>
      </x:c>
      <x:c r="P32" s="14" t="n">
        <x:f>DATEVALUE(N32)+O32</x:f>
        <x:v>46301</x:v>
      </x:c>
      <x:c r="Q32" s="13" t="str">
        <x:v>https://www.seoul284.org/cms/content/view/250</x:v>
      </x:c>
      <x:c r="R32" s="13" t="str"/>
      <x:c r="S32" s="13" t="str">
        <x:v>전시 없는 기간에는 장소 휴관이므로 이벤트 동기화 중요.</x:v>
      </x:c>
    </x:row>
    <x:row r="33">
      <x:c r="A33" s="13" t="str">
        <x:v>SEOUL032</x:v>
      </x:c>
      <x:c r="B33" s="13" t="str">
        <x:v>서울도시건축전시관</x:v>
      </x:c>
      <x:c r="C33" s="13" t="str">
        <x:v>Media Art</x:v>
      </x:c>
      <x:c r="D33" s="13" t="str">
        <x:v>중구</x:v>
      </x:c>
      <x:c r="E33" s="13" t="str">
        <x:v>서울특별시 중구 세종대로 119</x:v>
      </x:c>
      <x:c r="F33" s="13" t="str">
        <x:v>서울특별시 중구 세종대로 119 서울도시건축전시관</x:v>
      </x:c>
      <x:c r="G33" s="13" t="str">
        <x:v>ACTIVE_PUBLIC_EXHIBITION</x:v>
      </x:c>
      <x:c r="H33" s="13" t="str">
        <x:v>공식 방문정보 기준 확인 필요</x:v>
      </x:c>
      <x:c r="I33" s="13" t="str">
        <x:v>도시·건축 전시 순환</x:v>
      </x:c>
      <x:c r="J33" s="13" t="str"/>
      <x:c r="K33" s="13" t="str"/>
      <x:c r="L33" s="13" t="str">
        <x:v>VERIFIED_PLACE_NEEDS_HOURS_REFRESH</x:v>
      </x:c>
      <x:c r="M33" s="13" t="str">
        <x:v>KEEP_WITH_WARNING</x:v>
      </x:c>
      <x:c r="N33" s="14" t="str">
        <x:v>2026-09-22</x:v>
      </x:c>
      <x:c r="O33" s="13" t="n">
        <x:v>30</x:v>
      </x:c>
      <x:c r="P33" s="14" t="n">
        <x:f>DATEVALUE(N33)+O33</x:f>
        <x:v>46317</x:v>
      </x:c>
      <x:c r="Q33" s="13" t="str">
        <x:v>https://sca.seoul.go.kr/</x:v>
      </x:c>
      <x:c r="R33" s="13" t="str"/>
      <x:c r="S33" s="13" t="str">
        <x:v>도시·건축 전시는 순환. 상시 미디어아트 장소로 과대표시 금지.</x:v>
      </x:c>
    </x:row>
    <x:row r="34">
      <x:c r="A34" s="13" t="str">
        <x:v>SEOUL033</x:v>
      </x:c>
      <x:c r="B34" s="13" t="str">
        <x:v>문화비축기지 T4·T5</x:v>
      </x:c>
      <x:c r="C34" s="13" t="str">
        <x:v>Immersive</x:v>
      </x:c>
      <x:c r="D34" s="13" t="str">
        <x:v>마포구</x:v>
      </x:c>
      <x:c r="E34" s="13" t="str">
        <x:v>서울특별시 마포구 증산로 87</x:v>
      </x:c>
      <x:c r="F34" s="13" t="str">
        <x:v>서울특별시 마포구 증산로 87 문화비축기지</x:v>
      </x:c>
      <x:c r="G34" s="13" t="str">
        <x:v>ACTIVE_CULTURAL_VENUE</x:v>
      </x:c>
      <x:c r="H34" s="13" t="str">
        <x:v>시설/프로그램별 상이</x:v>
      </x:c>
      <x:c r="I34" s="13" t="str">
        <x:v>T5 360° 영상 시스템 등 상설 설비/기획 프로그램</x:v>
      </x:c>
      <x:c r="J34" s="13" t="str"/>
      <x:c r="K34" s="13" t="str"/>
      <x:c r="L34" s="13" t="str">
        <x:v>VERIFIED_PLACE_NEEDS_PROGRAM_REFRESH</x:v>
      </x:c>
      <x:c r="M34" s="13" t="str">
        <x:v>KEEP_WITH_WARNING</x:v>
      </x:c>
      <x:c r="N34" s="14" t="str">
        <x:v>2026-09-22</x:v>
      </x:c>
      <x:c r="O34" s="13" t="n">
        <x:v>30</x:v>
      </x:c>
      <x:c r="P34" s="14" t="n">
        <x:f>DATEVALUE(N34)+O34</x:f>
        <x:v>46317</x:v>
      </x:c>
      <x:c r="Q34" s="13" t="str">
        <x:v>https://parks.seoul.go.kr/culturetank</x:v>
      </x:c>
      <x:c r="R34" s="13" t="str"/>
      <x:c r="S34" s="13" t="str">
        <x:v>T4·T5 미디어/전시 프로그램 여부를 행사 단위로 갱신.</x:v>
      </x:c>
    </x:row>
    <x:row r="35">
      <x:c r="A35" s="13" t="str">
        <x:v>SEOUL034</x:v>
      </x:c>
      <x:c r="B35" s="13" t="str">
        <x:v>서울시립 사진미술관</x:v>
      </x:c>
      <x:c r="C35" s="13" t="str">
        <x:v>Media Art</x:v>
      </x:c>
      <x:c r="D35" s="13" t="str">
        <x:v>도봉구</x:v>
      </x:c>
      <x:c r="E35" s="13" t="str">
        <x:v>서울특별시 도봉구 마들로13길 68</x:v>
      </x:c>
      <x:c r="F35" s="13" t="str">
        <x:v>서울특별시 도봉구 마들로13길 68 서울시립 사진미술관</x:v>
      </x:c>
      <x:c r="G35" s="13" t="str">
        <x:v>ACTIVE_MUSEUM</x:v>
      </x:c>
      <x:c r="H35" s="13" t="str">
        <x:v>SeMA 운영시간 체계 적용</x:v>
      </x:c>
      <x:c r="I35" s="13" t="str">
        <x:v>마틴 파: We Are Martin Parr</x:v>
      </x:c>
      <x:c r="J35" s="13" t="str">
        <x:v>2026-07-16</x:v>
      </x:c>
      <x:c r="K35" s="13" t="str">
        <x:v>2026-10-18</x:v>
      </x:c>
      <x:c r="L35" s="13" t="str">
        <x:v>VERIFIED_PLACE_NEEDS_EXHIBITION_REFRESH</x:v>
      </x:c>
      <x:c r="M35" s="13" t="str">
        <x:v>KEEP_WITH_WARNING</x:v>
      </x:c>
      <x:c r="N35" s="14" t="str">
        <x:v>2026-09-22</x:v>
      </x:c>
      <x:c r="O35" s="13" t="n">
        <x:v>30</x:v>
      </x:c>
      <x:c r="P35" s="14" t="n">
        <x:f>DATEVALUE(N35)+O35</x:f>
        <x:v>46317</x:v>
      </x:c>
      <x:c r="Q35" s="13" t="str">
        <x:v>https://sema.seoul.go.kr/en/visit/photosema</x:v>
      </x:c>
      <x:c r="R35" s="13" t="str">
        <x:v>https://sema.seoul.go.kr/</x:v>
      </x:c>
      <x:c r="S35" s="13" t="str">
        <x:v>영상/미디어 작품 포함 전시를 행사 단위로 분리.</x:v>
      </x:c>
    </x:row>
    <x:row r="36">
      <x:c r="A36" s="13" t="str">
        <x:v>SEOUL035</x:v>
      </x:c>
      <x:c r="B36" s="13" t="str">
        <x:v>서울시립미술관 서소문본관</x:v>
      </x:c>
      <x:c r="C36" s="13" t="str">
        <x:v>Media Art</x:v>
      </x:c>
      <x:c r="D36" s="13" t="str">
        <x:v>중구</x:v>
      </x:c>
      <x:c r="E36" s="13" t="str">
        <x:v>서울특별시 중구 덕수궁길 61</x:v>
      </x:c>
      <x:c r="F36" s="13" t="str">
        <x:v>서울특별시 중구 덕수궁길 61 서울시립미술관 서소문본관</x:v>
      </x:c>
      <x:c r="G36" s="13" t="str">
        <x:v>ACTIVE_MUSEUM</x:v>
      </x:c>
      <x:c r="H36" s="13" t="str">
        <x:v>화~목 10:00-20:00 / 금 10:00-21:00 / 주말·공휴일 3~10월 10:00-19:00, 11~2월 10:00-18:00 / 월 휴관</x:v>
      </x:c>
      <x:c r="I36" s="13" t="str">
        <x:v>기술의 저변: 경계에 선 장면들 등</x:v>
      </x:c>
      <x:c r="J36" s="13" t="str">
        <x:v>2026-04-16</x:v>
      </x:c>
      <x:c r="K36" s="13" t="str">
        <x:v>2026-11-22</x:v>
      </x:c>
      <x:c r="L36" s="13" t="str">
        <x:v>VERIFIED_CURRENT</x:v>
      </x:c>
      <x:c r="M36" s="13" t="str">
        <x:v>KEEP</x:v>
      </x:c>
      <x:c r="N36" s="14" t="str">
        <x:v>2026-09-22</x:v>
      </x:c>
      <x:c r="O36" s="13" t="n">
        <x:v>30</x:v>
      </x:c>
      <x:c r="P36" s="14" t="n">
        <x:f>DATEVALUE(N36)+O36</x:f>
        <x:v>46317</x:v>
      </x:c>
      <x:c r="Q36" s="13" t="str">
        <x:v>https://sema.seoul.go.kr/kr/visit/seosomun</x:v>
      </x:c>
      <x:c r="R36" s="13" t="str"/>
      <x:c r="S36" s="13" t="str">
        <x:v>운영시간·주소 확인.</x:v>
      </x:c>
    </x:row>
    <x:row r="37">
      <x:c r="A37" s="13" t="str">
        <x:v>SEOUL036</x:v>
      </x:c>
      <x:c r="B37" s="13" t="str">
        <x:v>서울시립 북서울미술관</x:v>
      </x:c>
      <x:c r="C37" s="13" t="str">
        <x:v>Media Art</x:v>
      </x:c>
      <x:c r="D37" s="13" t="str">
        <x:v>노원구</x:v>
      </x:c>
      <x:c r="E37" s="13" t="str">
        <x:v>서울특별시 노원구 동일로 1238</x:v>
      </x:c>
      <x:c r="F37" s="13" t="str">
        <x:v>서울특별시 노원구 동일로 1238 서울시립 북서울미술관</x:v>
      </x:c>
      <x:c r="G37" s="13" t="str">
        <x:v>ACTIVE_MUSEUM</x:v>
      </x:c>
      <x:c r="H37" s="13" t="str">
        <x:v>화~목 10:00-20:00 / 금 10:00-21:00 / 주말·공휴일 3~10월 10:00-19:00, 11~2월 10:00-18:00 / 월 휴관</x:v>
      </x:c>
      <x:c r="I37" s="13" t="str">
        <x:v>권병준: 내 마음속에 너는 / 타이틀 매치</x:v>
      </x:c>
      <x:c r="J37" s="13" t="str">
        <x:v>2026-06-11</x:v>
      </x:c>
      <x:c r="K37" s="13" t="str">
        <x:v>2027-05-16</x:v>
      </x:c>
      <x:c r="L37" s="13" t="str">
        <x:v>VERIFIED_CURRENT</x:v>
      </x:c>
      <x:c r="M37" s="13" t="str">
        <x:v>KEEP</x:v>
      </x:c>
      <x:c r="N37" s="14" t="str">
        <x:v>2026-09-22</x:v>
      </x:c>
      <x:c r="O37" s="13" t="n">
        <x:v>30</x:v>
      </x:c>
      <x:c r="P37" s="14" t="n">
        <x:f>DATEVALUE(N37)+O37</x:f>
        <x:v>46317</x:v>
      </x:c>
      <x:c r="Q37" s="13" t="str">
        <x:v>https://sema.seoul.go.kr/kr/visit/bukseoul</x:v>
      </x:c>
      <x:c r="R37" s="13" t="str"/>
      <x:c r="S37" s="13" t="str">
        <x:v>주소·운영시간 공식 확인.</x:v>
      </x:c>
    </x:row>
    <x:row r="38">
      <x:c r="A38" s="13" t="str">
        <x:v>SEOUL037</x:v>
      </x:c>
      <x:c r="B38" s="13" t="str">
        <x:v>서울시립 백남준을 기억하는 집</x:v>
      </x:c>
      <x:c r="C38" s="13" t="str">
        <x:v>Media Art</x:v>
      </x:c>
      <x:c r="D38" s="13" t="str">
        <x:v>종로구</x:v>
      </x:c>
      <x:c r="E38" s="13" t="str">
        <x:v>서울특별시 종로구 종로53길 12-1</x:v>
      </x:c>
      <x:c r="F38" s="13" t="str">
        <x:v>서울특별시 종로구 종로53길 12-1 백남준을 기억하는 집</x:v>
      </x:c>
      <x:c r="G38" s="13" t="str">
        <x:v>ACTIVE_BRANCH_NEEDS_HOURS_REFRESH</x:v>
      </x:c>
      <x:c r="H38" s="13" t="str">
        <x:v>SeMA 분관 일정 확인</x:v>
      </x:c>
      <x:c r="I38" s="13" t="str">
        <x:v>메가트론 랩소디(공식 페이지 기준 전시 안내)</x:v>
      </x:c>
      <x:c r="J38" s="13" t="str">
        <x:v>2025-06-17</x:v>
      </x:c>
      <x:c r="K38" s="13" t="str"/>
      <x:c r="L38" s="13" t="str">
        <x:v>VERIFIED_PLACE_NEEDS_HOURS_REFRESH</x:v>
      </x:c>
      <x:c r="M38" s="13" t="str">
        <x:v>KEEP_WITH_WARNING</x:v>
      </x:c>
      <x:c r="N38" s="14" t="str">
        <x:v>2026-09-22</x:v>
      </x:c>
      <x:c r="O38" s="13" t="n">
        <x:v>30</x:v>
      </x:c>
      <x:c r="P38" s="14" t="n">
        <x:f>DATEVALUE(N38)+O38</x:f>
        <x:v>46317</x:v>
      </x:c>
      <x:c r="Q38" s="13" t="str">
        <x:v>https://sema.seoul.go.kr/kr/visit/nam_june_paik_house</x:v>
      </x:c>
      <x:c r="R38" s="13" t="str"/>
      <x:c r="S38" s="13" t="str">
        <x:v>뉴미디어 역사 맥락 장소. 최신 운영시간 정기 갱신.</x:v>
      </x:c>
    </x:row>
    <x:row r="39">
      <x:c r="A39" s="13" t="str">
        <x:v>SEOUL038</x:v>
      </x:c>
      <x:c r="B39" s="13" t="str">
        <x:v>서울시청 서울림(林) 미디어월</x:v>
      </x:c>
      <x:c r="C39" s="13" t="str">
        <x:v>Media Art</x:v>
      </x:c>
      <x:c r="D39" s="13" t="str">
        <x:v>중구</x:v>
      </x:c>
      <x:c r="E39" s="13" t="str">
        <x:v>서울특별시 중구 세종대로 110 서울시청 본관 1층</x:v>
      </x:c>
      <x:c r="F39" s="13" t="str">
        <x:v>서울특별시 중구 세종대로 110 서울시청 본관 1층 서울림 미디어월</x:v>
      </x:c>
      <x:c r="G39" s="13" t="str">
        <x:v>PLACE_ACTIVE_CURRENT_PROGRAM_UNVERIFIED</x:v>
      </x:c>
      <x:c r="H39" s="13" t="str">
        <x:v>서울시청 개방시간 내</x:v>
      </x:c>
      <x:c r="I39" s="13" t="str">
        <x:v>2026 첫 전시 종료 후 후속편성 확인 필요</x:v>
      </x:c>
      <x:c r="J39" s="13" t="str"/>
      <x:c r="K39" s="13" t="str"/>
      <x:c r="L39" s="13" t="str">
        <x:v>PARTIAL_NEEDS_PROGRAM_REFRESH</x:v>
      </x:c>
      <x:c r="M39" s="13" t="str">
        <x:v>KEEP_WITH_WARNING</x:v>
      </x:c>
      <x:c r="N39" s="14" t="str">
        <x:v>2026-09-22</x:v>
      </x:c>
      <x:c r="O39" s="13" t="n">
        <x:v>14</x:v>
      </x:c>
      <x:c r="P39" s="14" t="n">
        <x:f>DATEVALUE(N39)+O39</x:f>
        <x:v>46301</x:v>
      </x:c>
      <x:c r="Q39" s="13" t="str">
        <x:v>https://www.seoul.go.kr/</x:v>
      </x:c>
      <x:c r="R39" s="13" t="str">
        <x:v>https://love.seoul.go.kr/articles/10503</x:v>
      </x:c>
      <x:c r="S39" s="13" t="str">
        <x:v>미디어월 존재는 유지. 2026 후속 편성 확인이 필요.</x:v>
      </x:c>
    </x:row>
    <x:row r="40">
      <x:c r="A40" s="13" t="str">
        <x:v>SEOUL039</x:v>
      </x:c>
      <x:c r="B40" s="13" t="str">
        <x:v>피크닉</x:v>
      </x:c>
      <x:c r="C40" s="13" t="str">
        <x:v>Media Art</x:v>
      </x:c>
      <x:c r="D40" s="13" t="str">
        <x:v>중구</x:v>
      </x:c>
      <x:c r="E40" s="13" t="str">
        <x:v>서울특별시 중구 퇴계로6가길 30</x:v>
      </x:c>
      <x:c r="F40" s="13" t="str">
        <x:v>서울특별시 중구 퇴계로6가길 30 피크닉</x:v>
      </x:c>
      <x:c r="G40" s="13" t="str">
        <x:v>ACTIVE_ROTATING</x:v>
      </x:c>
      <x:c r="H40" s="13" t="str">
        <x:v>화~일 10:00-18:00(전시별 확인)</x:v>
      </x:c>
      <x:c r="I40" s="13" t="str">
        <x:v>다음 전시 준비 여부 공식 채널 확인</x:v>
      </x:c>
      <x:c r="J40" s="13" t="str"/>
      <x:c r="K40" s="13" t="str"/>
      <x:c r="L40" s="13" t="str">
        <x:v>VERIFIED_PLACE_NEEDS_EXHIBITION_REFRESH</x:v>
      </x:c>
      <x:c r="M40" s="13" t="str">
        <x:v>KEEP_WITH_WARNING</x:v>
      </x:c>
      <x:c r="N40" s="14" t="str">
        <x:v>2026-09-22</x:v>
      </x:c>
      <x:c r="O40" s="13" t="n">
        <x:v>30</x:v>
      </x:c>
      <x:c r="P40" s="14" t="n">
        <x:f>DATEVALUE(N40)+O40</x:f>
        <x:v>46317</x:v>
      </x:c>
      <x:c r="Q40" s="13" t="str">
        <x:v>https://piknic.kr/</x:v>
      </x:c>
      <x:c r="R40" s="13" t="str"/>
      <x:c r="S40" s="13" t="str">
        <x:v>현재 전시 적합성은 프로그램 단위로 판단.</x:v>
      </x:c>
    </x:row>
    <x:row r="41">
      <x:c r="A41" s="13" t="str">
        <x:v>SEOUL040</x:v>
      </x:c>
      <x:c r="B41" s="13" t="str">
        <x:v>더현대 서울 ALT.1</x:v>
      </x:c>
      <x:c r="C41" s="13" t="str">
        <x:v>Immersive</x:v>
      </x:c>
      <x:c r="D41" s="13" t="str">
        <x:v>영등포구</x:v>
      </x:c>
      <x:c r="E41" s="13" t="str">
        <x:v>서울특별시 영등포구 여의대로 108 더현대 서울</x:v>
      </x:c>
      <x:c r="F41" s="13" t="str">
        <x:v>서울특별시 영등포구 여의대로 108 더현대 서울 6층 ALT.1</x:v>
      </x:c>
      <x:c r="G41" s="13" t="str">
        <x:v>ACTIVE_CURRENT_EXHIBITION</x:v>
      </x:c>
      <x:c r="H41" s="13" t="str">
        <x:v>월~목 10:30-20:00 / 금~일 10:30-20:30</x:v>
      </x:c>
      <x:c r="I41" s="13" t="str">
        <x:v>뱅크시 특별전: BANKSY STILL HERE</x:v>
      </x:c>
      <x:c r="J41" s="13" t="str">
        <x:v>2026-07-22</x:v>
      </x:c>
      <x:c r="K41" s="13" t="str">
        <x:v>2026-11-03</x:v>
      </x:c>
      <x:c r="L41" s="13" t="str">
        <x:v>VERIFIED_CURRENT</x:v>
      </x:c>
      <x:c r="M41" s="13" t="str">
        <x:v>KEEP</x:v>
      </x:c>
      <x:c r="N41" s="14" t="str">
        <x:v>2026-09-22</x:v>
      </x:c>
      <x:c r="O41" s="13" t="n">
        <x:v>14</x:v>
      </x:c>
      <x:c r="P41" s="14" t="n">
        <x:f>DATEVALUE(N41)+O41</x:f>
        <x:v>46301</x:v>
      </x:c>
      <x:c r="Q41" s="13" t="str">
        <x:v>https://thehyundaiseoul.ehyundai.com/event-info/E1102607492820</x:v>
      </x:c>
      <x:c r="R41" s="13" t="str"/>
      <x:c r="S41" s="13" t="str">
        <x:v>현재 전시 확인. 앱 내 미디어아트 카테고리 적합성은 별도 판단.</x:v>
      </x:c>
    </x:row>
    <x:row r="42">
      <x:c r="A42" s="13" t="str">
        <x:v>SEOUL041</x:v>
      </x:c>
      <x:c r="B42" s="13" t="str">
        <x:v>그라운드시소 이스트</x:v>
      </x:c>
      <x:c r="C42" s="13" t="str">
        <x:v>Immersive</x:v>
      </x:c>
      <x:c r="D42" s="13" t="str">
        <x:v>광진구</x:v>
      </x:c>
      <x:c r="E42" s="13" t="str">
        <x:v>서울특별시 광진구 아차산로 402 인근</x:v>
      </x:c>
      <x:c r="F42" s="13" t="str">
        <x:v>서울특별시 광진구 아차산로 402 이스트폴 2F 그라운드시소 이스트</x:v>
      </x:c>
      <x:c r="G42" s="13" t="str">
        <x:v>ACTIVE_ROTATING</x:v>
      </x:c>
      <x:c r="H42" s="13" t="str">
        <x:v>10:00-19:00 / 입장마감 18:00 / 매월 첫 월요일 휴관</x:v>
      </x:c>
      <x:c r="I42" s="13" t="str">
        <x:v>최신 전시 편성 확인 필요</x:v>
      </x:c>
      <x:c r="J42" s="13" t="str"/>
      <x:c r="K42" s="13" t="str"/>
      <x:c r="L42" s="13" t="str">
        <x:v>VERIFIED_CURRENT</x:v>
      </x:c>
      <x:c r="M42" s="13" t="str">
        <x:v>KEEP</x:v>
      </x:c>
      <x:c r="N42" s="14" t="str">
        <x:v>2026-09-22</x:v>
      </x:c>
      <x:c r="O42" s="13" t="n">
        <x:v>30</x:v>
      </x:c>
      <x:c r="P42" s="14" t="n">
        <x:f>DATEVALUE(N42)+O42</x:f>
        <x:v>46317</x:v>
      </x:c>
      <x:c r="Q42" s="13" t="str">
        <x:v>https://groundseesaw.co.kr/shopinfo/visit.html</x:v>
      </x:c>
      <x:c r="R42" s="13" t="str"/>
      <x:c r="S42" s="13" t="str">
        <x:v>공식 현재 지점 목록·운영시간 확인.</x:v>
      </x:c>
    </x:row>
    <x:row r="43">
      <x:c r="A43" s="13" t="str">
        <x:v>SEOUL042</x:v>
      </x:c>
      <x:c r="B43" s="13" t="str">
        <x:v>그라운드시소 서촌</x:v>
      </x:c>
      <x:c r="C43" s="13" t="str">
        <x:v>Media Art</x:v>
      </x:c>
      <x:c r="D43" s="13" t="str">
        <x:v>종로구</x:v>
      </x:c>
      <x:c r="E43" s="13" t="str">
        <x:v>서울특별시 종로구 자하문로6길 18-8</x:v>
      </x:c>
      <x:c r="F43" s="13" t="str">
        <x:v>서울특별시 종로구 자하문로6길 18-8 그라운드시소 서촌</x:v>
      </x:c>
      <x:c r="G43" s="13" t="str">
        <x:v>CURRENT_STATUS_CONFLICT</x:v>
      </x:c>
      <x:c r="H43" s="13" t="str">
        <x:v>과거/관광 데이터 10:00-19:00</x:v>
      </x:c>
      <x:c r="I43" s="13" t="str">
        <x:v>최신 전시 편성 확인 필요</x:v>
      </x:c>
      <x:c r="J43" s="13" t="str"/>
      <x:c r="K43" s="13" t="str"/>
      <x:c r="L43" s="13" t="str">
        <x:v>HOLD_PROVIDER_CONFLICT</x:v>
      </x:c>
      <x:c r="M43" s="13" t="str">
        <x:v>HOLD</x:v>
      </x:c>
      <x:c r="N43" s="14" t="str">
        <x:v>2026-09-22</x:v>
      </x:c>
      <x:c r="O43" s="13" t="n">
        <x:v>7</x:v>
      </x:c>
      <x:c r="P43" s="14" t="n">
        <x:f>DATEVALUE(N43)+O43</x:f>
        <x:v>46294</x:v>
      </x:c>
      <x:c r="Q43" s="13" t="str">
        <x:v>https://groundseesaw.co.kr/shopinfo/visit.html</x:v>
      </x:c>
      <x:c r="R43" s="13" t="str">
        <x:v>https://english.visitkorea.or.kr/svc/contents/contentsView.do?vcontsId=15106</x:v>
      </x:c>
      <x:c r="S43" s="13" t="str">
        <x:v>2026 현재 한국어 공식 지점 페이지에는 센트럴·이스트·한남만 표시되나 VisitKorea에는 서촌 정보가 남아 있음. 출시 전 운영사 확인 후 KEEP/REMOVE 결정.</x:v>
      </x:c>
    </x:row>
    <x:row r="44">
      <x:c r="A44" s="13" t="str">
        <x:v>SEOUL043</x:v>
      </x:c>
      <x:c r="B44" s="13" t="str">
        <x:v>N서울타워</x:v>
      </x:c>
      <x:c r="C44" s="13" t="str">
        <x:v>Light Art</x:v>
      </x:c>
      <x:c r="D44" s="13" t="str">
        <x:v>용산구</x:v>
      </x:c>
      <x:c r="E44" s="13" t="str">
        <x:v>서울특별시 용산구 남산공원길 105</x:v>
      </x:c>
      <x:c r="F44" s="13" t="str">
        <x:v>서울특별시 용산구 남산공원길 105 N서울타워</x:v>
      </x:c>
      <x:c r="G44" s="13" t="str">
        <x:v>ACTIVE_LANDMARK</x:v>
      </x:c>
      <x:c r="H44" s="13" t="str">
        <x:v>연중 운영; 시설별 시간 확인</x:v>
      </x:c>
      <x:c r="I44" s="13" t="str">
        <x:v>상설 야간 LED/라이트 연출</x:v>
      </x:c>
      <x:c r="J44" s="13" t="str"/>
      <x:c r="K44" s="13" t="str"/>
      <x:c r="L44" s="13" t="str">
        <x:v>VERIFIED_PLACE_STABLE</x:v>
      </x:c>
      <x:c r="M44" s="13" t="str">
        <x:v>KEEP</x:v>
      </x:c>
      <x:c r="N44" s="14" t="str">
        <x:v>2026-09-22</x:v>
      </x:c>
      <x:c r="O44" s="13" t="n">
        <x:v>90</x:v>
      </x:c>
      <x:c r="P44" s="14" t="n">
        <x:f>DATEVALUE(N44)+O44</x:f>
        <x:v>46377</x:v>
      </x:c>
      <x:c r="Q44" s="13" t="str">
        <x:v>https://www.nseoultower.co.kr/eng/global/intro.asp</x:v>
      </x:c>
      <x:c r="R44" s="13" t="str"/>
      <x:c r="S44" s="13" t="str">
        <x:v>조명 연출 상세 편성은 이벤트성.</x:v>
      </x:c>
    </x:row>
    <x:row r="45">
      <x:c r="A45" s="13" t="str">
        <x:v>SEOUL044</x:v>
      </x:c>
      <x:c r="B45" s="13" t="str">
        <x:v>세빛섬</x:v>
      </x:c>
      <x:c r="C45" s="13" t="str">
        <x:v>Light Art</x:v>
      </x:c>
      <x:c r="D45" s="13" t="str">
        <x:v>서초구</x:v>
      </x:c>
      <x:c r="E45" s="13" t="str">
        <x:v>서울특별시 서초구 올림픽대로 2085-14</x:v>
      </x:c>
      <x:c r="F45" s="13" t="str">
        <x:v>서울특별시 서초구 올림픽대로 2085-14 세빛섬</x:v>
      </x:c>
      <x:c r="G45" s="13" t="str">
        <x:v>ACTIVE_COMPLEX</x:v>
      </x:c>
      <x:c r="H45" s="13" t="str">
        <x:v>시설별 상이; 카페/레스토랑/수상시설 별도</x:v>
      </x:c>
      <x:c r="I45" s="13" t="str">
        <x:v>상설 야간 조명·외부 스크린 콘텐츠</x:v>
      </x:c>
      <x:c r="J45" s="13" t="str"/>
      <x:c r="K45" s="13" t="str"/>
      <x:c r="L45" s="13" t="str">
        <x:v>VERIFIED_CURRENT</x:v>
      </x:c>
      <x:c r="M45" s="13" t="str">
        <x:v>KEEP</x:v>
      </x:c>
      <x:c r="N45" s="14" t="str">
        <x:v>2026-09-22</x:v>
      </x:c>
      <x:c r="O45" s="13" t="n">
        <x:v>30</x:v>
      </x:c>
      <x:c r="P45" s="14" t="n">
        <x:f>DATEVALUE(N45)+O45</x:f>
        <x:v>46317</x:v>
      </x:c>
      <x:c r="Q45" s="13" t="str">
        <x:v>https://www.somesevit.co.kr/kr/company/opening_hours.do</x:v>
      </x:c>
      <x:c r="R45" s="13" t="str"/>
      <x:c r="S45" s="13" t="str">
        <x:v>세빛섬 전체를 단일 영업시간으로 표시하지 않도록 함.</x:v>
      </x:c>
    </x:row>
    <x:row r="46">
      <x:c r="A46" s="13" t="str">
        <x:v>SEOUL045</x:v>
      </x:c>
      <x:c r="B46" s="13" t="str">
        <x:v>반포대교 달빛무지개분수</x:v>
      </x:c>
      <x:c r="C46" s="13" t="str">
        <x:v>Light Art</x:v>
      </x:c>
      <x:c r="D46" s="13" t="str">
        <x:v>서초구</x:v>
      </x:c>
      <x:c r="E46" s="13" t="str">
        <x:v>서울특별시 서초구 신반포로11길 40 반포한강공원 일대</x:v>
      </x:c>
      <x:c r="F46" s="13" t="str">
        <x:v>서울특별시 서초구 반포동 647 반포한강공원 일대</x:v>
      </x:c>
      <x:c r="G46" s="13" t="str">
        <x:v>ACTIVE_SEASONAL_SHOW</x:v>
      </x:c>
      <x:c r="H46" s="13" t="str">
        <x:v>시즌·월별 회차제; 기상 시 중단 가능</x:v>
      </x:c>
      <x:c r="I46" s="13" t="str">
        <x:v>달빛무지개분수 시즌 운영</x:v>
      </x:c>
      <x:c r="J46" s="13" t="str">
        <x:v>2026</x:v>
      </x:c>
      <x:c r="K46" s="13" t="str"/>
      <x:c r="L46" s="13" t="str">
        <x:v>VERIFIED_CURRENT_SEASONAL</x:v>
      </x:c>
      <x:c r="M46" s="13" t="str">
        <x:v>KEEP</x:v>
      </x:c>
      <x:c r="N46" s="14" t="str">
        <x:v>2026-09-22</x:v>
      </x:c>
      <x:c r="O46" s="13" t="n">
        <x:v>7</x:v>
      </x:c>
      <x:c r="P46" s="14" t="n">
        <x:f>DATEVALUE(N46)+O46</x:f>
        <x:v>46294</x:v>
      </x:c>
      <x:c r="Q46" s="13" t="str">
        <x:v>https://hangang.seoul.go.kr/www/contents/858.do</x:v>
      </x:c>
      <x:c r="R46" s="13" t="str"/>
      <x:c r="S46" s="13" t="str">
        <x:v>2026 운영 시즌·회차는 서울시 공식 일정을 라이브 갱신하는 구조 권장.</x:v>
      </x:c>
    </x:row>
    <x:row r="47">
      <x:c r="A47" s="13" t="str">
        <x:v>SEOUL046</x:v>
      </x:c>
      <x:c r="B47" s="13" t="str">
        <x:v>서울로7017 야간조명</x:v>
      </x:c>
      <x:c r="C47" s="13" t="str">
        <x:v>Light Art</x:v>
      </x:c>
      <x:c r="D47" s="13" t="str">
        <x:v>중구</x:v>
      </x:c>
      <x:c r="E47" s="13" t="str">
        <x:v>서울특별시 중구 청파로 432 일대</x:v>
      </x:c>
      <x:c r="F47" s="13" t="str">
        <x:v>서울특별시 중구 청파로 432 서울로7017</x:v>
      </x:c>
      <x:c r="G47" s="13" t="str">
        <x:v>ACTIVE_24H</x:v>
      </x:c>
      <x:c r="H47" s="13" t="str">
        <x:v>매일 00:00-24:00</x:v>
      </x:c>
      <x:c r="I47" s="13" t="str">
        <x:v>상설 야간조명</x:v>
      </x:c>
      <x:c r="J47" s="13" t="str"/>
      <x:c r="K47" s="13" t="str"/>
      <x:c r="L47" s="13" t="str">
        <x:v>VERIFIED_STABLE_OLDER_SOURCE</x:v>
      </x:c>
      <x:c r="M47" s="13" t="str">
        <x:v>KEEP</x:v>
      </x:c>
      <x:c r="N47" s="14" t="str">
        <x:v>2026-09-22</x:v>
      </x:c>
      <x:c r="O47" s="13" t="n">
        <x:v>90</x:v>
      </x:c>
      <x:c r="P47" s="14" t="n">
        <x:f>DATEVALUE(N47)+O47</x:f>
        <x:v>46377</x:v>
      </x:c>
      <x:c r="Q47" s="13" t="str">
        <x:v>https://mediahub.seoul.go.kr/archives/1504304</x:v>
      </x:c>
      <x:c r="R47" s="13" t="str">
        <x:v>https://parks.seoul.go.kr/template/sub/seoullo7017.do</x:v>
      </x:c>
      <x:c r="S47" s="13" t="str">
        <x:v>운영시간은 안정적이지만 조명 콘텐츠는 별도 편성 없음.</x:v>
      </x:c>
    </x:row>
    <x:row r="48">
      <x:c r="A48" s="13" t="str">
        <x:v>SEOUL047</x:v>
      </x:c>
      <x:c r="B48" s="13" t="str">
        <x:v>홍제유연</x:v>
      </x:c>
      <x:c r="C48" s="13" t="str">
        <x:v>Light Art</x:v>
      </x:c>
      <x:c r="D48" s="13" t="str">
        <x:v>서대문구</x:v>
      </x:c>
      <x:c r="E48" s="13" t="str">
        <x:v>서울특별시 서대문구 홍제천 유진상가 하부</x:v>
      </x:c>
      <x:c r="F48" s="13" t="str">
        <x:v>서울특별시 서대문구 홍제동 유진상가 지하 홍제교 하부(홍제유연)</x:v>
      </x:c>
      <x:c r="G48" s="13" t="str">
        <x:v>LIKELY_ACTIVE_NEEDS_2026_FIELD_CHECK</x:v>
      </x:c>
      <x:c r="H48" s="13" t="str">
        <x:v>10:00-22:00(기존 서울시 안내)</x:v>
      </x:c>
      <x:c r="I48" s="13" t="str">
        <x:v>빛·사운드·미디어 설치작품 상설군</x:v>
      </x:c>
      <x:c r="J48" s="13" t="str"/>
      <x:c r="K48" s="13" t="str"/>
      <x:c r="L48" s="13" t="str">
        <x:v>VERIFIED_HISTORICAL_NEEDS_FRESH_CHECK</x:v>
      </x:c>
      <x:c r="M48" s="13" t="str">
        <x:v>KEEP_WITH_WARNING</x:v>
      </x:c>
      <x:c r="N48" s="14" t="str">
        <x:v>2026-09-22</x:v>
      </x:c>
      <x:c r="O48" s="13" t="n">
        <x:v>7</x:v>
      </x:c>
      <x:c r="P48" s="14" t="n">
        <x:f>DATEVALUE(N48)+O48</x:f>
        <x:v>46294</x:v>
      </x:c>
      <x:c r="Q48" s="13" t="str">
        <x:v>https://mediahub.seoul.go.kr/archives/1503278</x:v>
      </x:c>
      <x:c r="R48" s="13" t="str"/>
      <x:c r="S48" s="13" t="str">
        <x:v>장소·운영시간 근거가 오래되어 현장/구청 2026 확인 필요.</x:v>
      </x:c>
    </x:row>
    <x:row r="49">
      <x:c r="A49" s="13" t="str">
        <x:v>SEOUL048</x:v>
      </x:c>
      <x:c r="B49" s="13" t="str">
        <x:v>별마당도서관</x:v>
      </x:c>
      <x:c r="C49" s="13" t="str">
        <x:v>Architecture</x:v>
      </x:c>
      <x:c r="D49" s="13" t="str">
        <x:v>강남구</x:v>
      </x:c>
      <x:c r="E49" s="13" t="str">
        <x:v>서울특별시 강남구 영동대로 513 스타필드 코엑스몰 B1</x:v>
      </x:c>
      <x:c r="F49" s="13" t="str">
        <x:v>서울특별시 강남구 영동대로 513 스타필드 코엑스몰 B1 별마당도서관</x:v>
      </x:c>
      <x:c r="G49" s="13" t="str">
        <x:v>ACTIVE_PERMANENT</x:v>
      </x:c>
      <x:c r="H49" s="13" t="str">
        <x:v>10:30-22:00</x:v>
      </x:c>
      <x:c r="I49" s="13" t="str">
        <x:v>상설 공간</x:v>
      </x:c>
      <x:c r="J49" s="13" t="str"/>
      <x:c r="K49" s="13" t="str"/>
      <x:c r="L49" s="13" t="str">
        <x:v>VERIFIED_CURRENT</x:v>
      </x:c>
      <x:c r="M49" s="13" t="str">
        <x:v>KEEP</x:v>
      </x:c>
      <x:c r="N49" s="14" t="str">
        <x:v>2026-09-22</x:v>
      </x:c>
      <x:c r="O49" s="13" t="n">
        <x:v>90</x:v>
      </x:c>
      <x:c r="P49" s="14" t="n">
        <x:f>DATEVALUE(N49)+O49</x:f>
        <x:v>46377</x:v>
      </x:c>
      <x:c r="Q49" s="13" t="str">
        <x:v>https://www.starfield.co.kr/coexmall/starfieldLibrary</x:v>
      </x:c>
      <x:c r="R49" s="13" t="str"/>
      <x:c r="S49" s="13" t="str">
        <x:v>상설 공간.</x:v>
      </x:c>
    </x:row>
    <x:row r="50">
      <x:c r="A50" s="13" t="str">
        <x:v>SEOUL049</x:v>
      </x:c>
      <x:c r="B50" s="13" t="str">
        <x:v>서울웨이브 아트센터</x:v>
      </x:c>
      <x:c r="C50" s="13" t="str">
        <x:v>Architecture</x:v>
      </x:c>
      <x:c r="D50" s="13" t="str">
        <x:v>서초구</x:v>
      </x:c>
      <x:c r="E50" s="13" t="str">
        <x:v>서울특별시 서초구 잠원로 145-35</x:v>
      </x:c>
      <x:c r="F50" s="13" t="str">
        <x:v>서울특별시 서초구 잠원로 145-35 서울웨이브 아트센터</x:v>
      </x:c>
      <x:c r="G50" s="13" t="str">
        <x:v>ACTIVE_EVENT_VENUE_HOURS_VARY</x:v>
      </x:c>
      <x:c r="H50" s="13" t="str">
        <x:v>행사·시설별 변동</x:v>
      </x:c>
      <x:c r="I50" s="13" t="str">
        <x:v>전시·행사 순환</x:v>
      </x:c>
      <x:c r="J50" s="13" t="str"/>
      <x:c r="K50" s="13" t="str"/>
      <x:c r="L50" s="13" t="str">
        <x:v>VERIFIED_ADDRESS_PROVIDER_HOURS_CONFLICT</x:v>
      </x:c>
      <x:c r="M50" s="13" t="str">
        <x:v>KEEP_WITH_WARNING</x:v>
      </x:c>
      <x:c r="N50" s="14" t="str">
        <x:v>2026-09-22</x:v>
      </x:c>
      <x:c r="O50" s="13" t="n">
        <x:v>30</x:v>
      </x:c>
      <x:c r="P50" s="14" t="n">
        <x:f>DATEVALUE(N50)+O50</x:f>
        <x:v>46317</x:v>
      </x:c>
      <x:c r="Q50" s="13" t="str">
        <x:v>https://korean.visitkorea.or.kr/</x:v>
      </x:c>
      <x:c r="R50" s="13" t="str">
        <x:v>https://www.seoulwave.co.kr/</x:v>
      </x:c>
      <x:c r="S50" s="13" t="str">
        <x:v>주소는 안정적. 온라인 자료 간 운영시간 차이가 있어 행사별 확인으로 표시.</x:v>
      </x:c>
    </x:row>
    <x:row r="51">
      <x:c r="A51" s="13" t="str">
        <x:v>SEOUL050</x:v>
      </x:c>
      <x:c r="B51" s="13" t="str">
        <x:v>노원 불빛정원(화랑대 철도공원)</x:v>
      </x:c>
      <x:c r="C51" s="13" t="str">
        <x:v>Light Art</x:v>
      </x:c>
      <x:c r="D51" s="13" t="str">
        <x:v>노원구</x:v>
      </x:c>
      <x:c r="E51" s="13" t="str">
        <x:v>서울특별시 노원구 화랑로 608 일대</x:v>
      </x:c>
      <x:c r="F51" s="13" t="str">
        <x:v>서울특별시 노원구 화랑대 철도공원 공릉동 29-61·화랑로 608 일대, 노원 불빛정원</x:v>
      </x:c>
      <x:c r="G51" s="13" t="str">
        <x:v>ACTIVE_NIGHT_GARDEN</x:v>
      </x:c>
      <x:c r="H51" s="13" t="str">
        <x:v>연중 / 월요일 휴무 / 일몰 30분 전~22:00(구 자료 기준)</x:v>
      </x:c>
      <x:c r="I51" s="13" t="str">
        <x:v>노원 불빛정원 상설 야간 운영</x:v>
      </x:c>
      <x:c r="J51" s="13" t="str"/>
      <x:c r="K51" s="13" t="str"/>
      <x:c r="L51" s="13" t="str">
        <x:v>VERIFIED_DISTRICT_INFO_NEEDS_ANNUAL_REFRESH</x:v>
      </x:c>
      <x:c r="M51" s="13" t="str">
        <x:v>KEEP_WITH_WARNING</x:v>
      </x:c>
      <x:c r="N51" s="14" t="str">
        <x:v>2026-09-22</x:v>
      </x:c>
      <x:c r="O51" s="13" t="n">
        <x:v>30</x:v>
      </x:c>
      <x:c r="P51" s="14" t="n">
        <x:f>DATEVALUE(N51)+O51</x:f>
        <x:v>46317</x:v>
      </x:c>
      <x:c r="Q51" s="13" t="str">
        <x:v>https://www.nowon.kr/</x:v>
      </x:c>
      <x:c r="R51" s="13" t="str"/>
      <x:c r="S51" s="13" t="str">
        <x:v>2026 행사로 공원 운영 지속 확인. 정확한 시즌 예외일은 구청 일정 갱신.</x:v>
      </x:c>
    </x:row>
  </x:sheetData>
  <x:conditionalFormatting sqref="M2:M51">
    <x:cfRule type="expression" dxfId="0" priority="1">
      <x:formula>M2="KEEP"</x:formula>
    </x:cfRule>
    <x:cfRule type="expression" dxfId="1" priority="2">
      <x:formula>M2="HOLD"</x:formula>
    </x:cfRule>
    <x:cfRule type="expression" dxfId="2" priority="3">
      <x:formula>M2="KEEP_WITH_WARNING"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dd3ff58df340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6" hidden="0" customWidth="1"/>
    <x:col min="5" max="5" width="48" hidden="0" customWidth="1"/>
    <x:col min="6" max="6" width="45" hidden="0" customWidth="1"/>
    <x:col min="7" max="7" width="18" hidden="0" customWidth="1"/>
    <x:col min="8" max="8" width="60" hidden="0" customWidth="1"/>
    <x:col min="9" max="9" width="50" hidden="0" customWidth="1"/>
    <x:col min="10" max="10" width="60" hidden="0" customWidth="1"/>
    <x:col min="11" max="11" width="16" hidden="0" customWidth="1"/>
    <x:col min="12" max="12" width="48" hidden="0" customWidth="1"/>
  </x:cols>
  <x:sheetData>
    <x:row r="1">
      <x:c r="A1" s="12" t="str">
        <x:v>place_code</x:v>
      </x:c>
      <x:c r="B1" s="12" t="str">
        <x:v>name_kr</x:v>
      </x:c>
      <x:c r="C1" s="12" t="str">
        <x:v>owner_type</x:v>
      </x:c>
      <x:c r="D1" s="12" t="str">
        <x:v>rights_status</x:v>
      </x:c>
      <x:c r="E1" s="12" t="str">
        <x:v>cover_strategy</x:v>
      </x:c>
      <x:c r="F1" s="12" t="str">
        <x:v>alternative_source</x:v>
      </x:c>
      <x:c r="G1" s="12" t="str">
        <x:v>artwork_rights_risk</x:v>
      </x:c>
      <x:c r="H1" s="12" t="str">
        <x:v>commercial_app_rule</x:v>
      </x:c>
      <x:c r="I1" s="12" t="str">
        <x:v>attribution_fields</x:v>
      </x:c>
      <x:c r="J1" s="12" t="str">
        <x:v>policy_or_source_url</x:v>
      </x:c>
      <x:c r="K1" s="12" t="str">
        <x:v>asset_selected</x:v>
      </x:c>
      <x:c r="L1" s="12" t="str">
        <x:v>notes</x:v>
      </x:c>
    </x:row>
    <x:row r="2">
      <x:c r="A2" s="13" t="str">
        <x:v>SEOUL001</x:v>
      </x:c>
      <x:c r="B2" s="13" t="str">
        <x:v>아뜰리에 노들</x:v>
      </x:c>
      <x:c r="C2" s="13" t="str">
        <x:v>공공기관/공공공간</x:v>
      </x:c>
      <x:c r="D2" s="13" t="str">
        <x:v>ASSET_LEVEL_CHECK_REQUIRED</x:v>
      </x:c>
      <x:c r="E2" s="13" t="str">
        <x:v>정확한 이미지의 공공누리(KOGL) 마크·유형을 자산 단위로 확인</x:v>
      </x:c>
      <x:c r="F2" s="13" t="str">
        <x:v>직접 촬영</x:v>
      </x:c>
      <x:c r="G2" s="13" t="str">
        <x:v>HIGH</x:v>
      </x:c>
      <x:c r="H2" s="13" t="str">
        <x:v>라이선스에 상업이용 금지가 있으면 앱 커버로 사용하지 않음. 작품 클로즈업은 장소 사진 권리와 별도로 작품 저작권 검토.</x:v>
      </x:c>
      <x:c r="I2" s="13" t="str">
        <x:v>creator / source URL / license URI or KOGL type / copyright holder / acquired_at</x:v>
      </x:c>
      <x:c r="J2" s="13" t="str">
        <x:v>https://www.seoul.go.kr/helper/copyright.do</x:v>
      </x:c>
      <x:c r="K2" s="13" t="str">
        <x:v>NO</x:v>
      </x:c>
      <x:c r="L2" s="13" t="str">
        <x:v>특정 사진 파일을 선정하기 전에는 사용 허가 완료로 표시하지 않음.</x:v>
      </x:c>
    </x:row>
    <x:row r="3">
      <x:c r="A3" s="13" t="str">
        <x:v>SEOUL002</x:v>
      </x:c>
      <x:c r="B3" s="13" t="str">
        <x:v>아뜰리에 광화</x:v>
      </x:c>
      <x:c r="C3" s="13" t="str">
        <x:v>공공기관/공공공간</x:v>
      </x:c>
      <x:c r="D3" s="13" t="str">
        <x:v>ASSET_LEVEL_CHECK_REQUIRED</x:v>
      </x:c>
      <x:c r="E3" s="13" t="str">
        <x:v>정확한 이미지의 공공누리(KOGL) 마크·유형을 자산 단위로 확인</x:v>
      </x:c>
      <x:c r="F3" s="13" t="str">
        <x:v>직접 촬영</x:v>
      </x:c>
      <x:c r="G3" s="13" t="str">
        <x:v>HIGH</x:v>
      </x:c>
      <x:c r="H3" s="13" t="str">
        <x:v>라이선스에 상업이용 금지가 있으면 앱 커버로 사용하지 않음. 작품 클로즈업은 장소 사진 권리와 별도로 작품 저작권 검토.</x:v>
      </x:c>
      <x:c r="I3" s="13" t="str">
        <x:v>creator / source URL / license URI or KOGL type / copyright holder / acquired_at</x:v>
      </x:c>
      <x:c r="J3" s="13" t="str">
        <x:v>https://www.seoul.go.kr/helper/copyright.do</x:v>
      </x:c>
      <x:c r="K3" s="13" t="str">
        <x:v>NO</x:v>
      </x:c>
      <x:c r="L3" s="13" t="str">
        <x:v>특정 사진 파일을 선정하기 전에는 사용 허가 완료로 표시하지 않음.</x:v>
      </x:c>
    </x:row>
    <x:row r="4">
      <x:c r="A4" s="13" t="str">
        <x:v>SEOUL003</x:v>
      </x:c>
      <x:c r="B4" s="13" t="str">
        <x:v>해치마당 미디어월</x:v>
      </x:c>
      <x:c r="C4" s="13" t="str">
        <x:v>공공기관/공공공간</x:v>
      </x:c>
      <x:c r="D4" s="13" t="str">
        <x:v>ASSET_LEVEL_CHECK_REQUIRED</x:v>
      </x:c>
      <x:c r="E4" s="13" t="str">
        <x:v>정확한 이미지의 공공누리(KOGL) 마크·유형을 자산 단위로 확인</x:v>
      </x:c>
      <x:c r="F4" s="13" t="str">
        <x:v>직접 촬영</x:v>
      </x:c>
      <x:c r="G4" s="13" t="str">
        <x:v>HIGH</x:v>
      </x:c>
      <x:c r="H4" s="13" t="str">
        <x:v>라이선스에 상업이용 금지가 있으면 앱 커버로 사용하지 않음. 작품 클로즈업은 장소 사진 권리와 별도로 작품 저작권 검토.</x:v>
      </x:c>
      <x:c r="I4" s="13" t="str">
        <x:v>creator / source URL / license URI or KOGL type / copyright holder / acquired_at</x:v>
      </x:c>
      <x:c r="J4" s="13" t="str">
        <x:v>https://www.seoul.go.kr/helper/copyright.do</x:v>
      </x:c>
      <x:c r="K4" s="13" t="str">
        <x:v>NO</x:v>
      </x:c>
      <x:c r="L4" s="13" t="str">
        <x:v>특정 사진 파일을 선정하기 전에는 사용 허가 완료로 표시하지 않음.</x:v>
      </x:c>
    </x:row>
    <x:row r="5">
      <x:c r="A5" s="13" t="str">
        <x:v>SEOUL004</x:v>
      </x:c>
      <x:c r="B5" s="13" t="str">
        <x:v>오간수교 미디어파사드</x:v>
      </x:c>
      <x:c r="C5" s="13" t="str">
        <x:v>공공기관/공공공간</x:v>
      </x:c>
      <x:c r="D5" s="13" t="str">
        <x:v>ASSET_LEVEL_CHECK_REQUIRED</x:v>
      </x:c>
      <x:c r="E5" s="13" t="str">
        <x:v>정확한 이미지의 공공누리(KOGL) 마크·유형을 자산 단위로 확인</x:v>
      </x:c>
      <x:c r="F5" s="13" t="str">
        <x:v>직접 촬영</x:v>
      </x:c>
      <x:c r="G5" s="13" t="str">
        <x:v>HIGH</x:v>
      </x:c>
      <x:c r="H5" s="13" t="str">
        <x:v>라이선스에 상업이용 금지가 있으면 앱 커버로 사용하지 않음. 작품 클로즈업은 장소 사진 권리와 별도로 작품 저작권 검토.</x:v>
      </x:c>
      <x:c r="I5" s="13" t="str">
        <x:v>creator / source URL / license URI or KOGL type / copyright holder / acquired_at</x:v>
      </x:c>
      <x:c r="J5" s="13" t="str">
        <x:v>https://www.seoul.go.kr/helper/copyright.do</x:v>
      </x:c>
      <x:c r="K5" s="13" t="str">
        <x:v>NO</x:v>
      </x:c>
      <x:c r="L5" s="13" t="str">
        <x:v>특정 사진 파일을 선정하기 전에는 사용 허가 완료로 표시하지 않음.</x:v>
      </x:c>
    </x:row>
    <x:row r="6">
      <x:c r="A6" s="13" t="str">
        <x:v>SEOUL005</x:v>
      </x:c>
      <x:c r="B6" s="13" t="str">
        <x:v>서울로미디어캔버스</x:v>
      </x:c>
      <x:c r="C6" s="13" t="str">
        <x:v>공공기관/공공공간</x:v>
      </x:c>
      <x:c r="D6" s="13" t="str">
        <x:v>ASSET_LEVEL_CHECK_REQUIRED</x:v>
      </x:c>
      <x:c r="E6" s="13" t="str">
        <x:v>정확한 이미지의 공공누리(KOGL) 마크·유형을 자산 단위로 확인</x:v>
      </x:c>
      <x:c r="F6" s="13" t="str">
        <x:v>직접 촬영</x:v>
      </x:c>
      <x:c r="G6" s="13" t="str">
        <x:v>HIGH</x:v>
      </x:c>
      <x:c r="H6" s="13" t="str">
        <x:v>라이선스에 상업이용 금지가 있으면 앱 커버로 사용하지 않음. 작품 클로즈업은 장소 사진 권리와 별도로 작품 저작권 검토.</x:v>
      </x:c>
      <x:c r="I6" s="13" t="str">
        <x:v>creator / source URL / license URI or KOGL type / copyright holder / acquired_at</x:v>
      </x:c>
      <x:c r="J6" s="13" t="str">
        <x:v>https://www.seoul.go.kr/helper/copyright.do</x:v>
      </x:c>
      <x:c r="K6" s="13" t="str">
        <x:v>NO</x:v>
      </x:c>
      <x:c r="L6" s="13" t="str">
        <x:v>특정 사진 파일을 선정하기 전에는 사용 허가 완료로 표시하지 않음.</x:v>
      </x:c>
    </x:row>
    <x:row r="7">
      <x:c r="A7" s="13" t="str">
        <x:v>SEOUL006</x:v>
      </x:c>
      <x:c r="B7" s="13" t="str">
        <x:v>동대문디자인플라자(DDP) / 서울라이트</x:v>
      </x:c>
      <x:c r="C7" s="13" t="str">
        <x:v>공공기관/공공공간</x:v>
      </x:c>
      <x:c r="D7" s="13" t="str">
        <x:v>ASSET_LEVEL_CHECK_REQUIRED</x:v>
      </x:c>
      <x:c r="E7" s="13" t="str">
        <x:v>정확한 이미지의 공공누리(KOGL) 마크·유형을 자산 단위로 확인</x:v>
      </x:c>
      <x:c r="F7" s="13" t="str">
        <x:v>Wikimedia Commons 개별 파일 CC/PD 라이선스 확인</x:v>
      </x:c>
      <x:c r="G7" s="13" t="str">
        <x:v>HIGH</x:v>
      </x:c>
      <x:c r="H7" s="13" t="str">
        <x:v>라이선스에 상업이용 금지가 있으면 앱 커버로 사용하지 않음. 작품 클로즈업은 장소 사진 권리와 별도로 작품 저작권 검토.</x:v>
      </x:c>
      <x:c r="I7" s="13" t="str">
        <x:v>creator / source URL / license URI or KOGL type / copyright holder / acquired_at</x:v>
      </x:c>
      <x:c r="J7" s="13" t="str">
        <x:v>https://www.seoul.go.kr/helper/copyright.do</x:v>
      </x:c>
      <x:c r="K7" s="13" t="str">
        <x:v>NO</x:v>
      </x:c>
      <x:c r="L7" s="13" t="str">
        <x:v>특정 사진 파일을 선정하기 전에는 사용 허가 완료로 표시하지 않음.</x:v>
      </x:c>
    </x:row>
    <x:row r="8">
      <x:c r="A8" s="13" t="str">
        <x:v>SEOUL007</x:v>
      </x:c>
      <x:c r="B8" s="13" t="str">
        <x:v>코엑스 K-POP 스퀘어 WAVE</x:v>
      </x:c>
      <x:c r="C8" s="13" t="str">
        <x:v>민간/복합</x:v>
      </x:c>
      <x:c r="D8" s="13" t="str">
        <x:v>NOT_CLEARED</x:v>
      </x:c>
      <x:c r="E8" s="13" t="str">
        <x:v>직접 촬영 또는 운영사/권리자 공식 허가·프레스킷 사용</x:v>
      </x:c>
      <x:c r="F8" s="13" t="str">
        <x:v>TourAPI 이미지정보 후보(해당 콘텐츠 이용조건 확인) / Wikimedia Commons 개별 파일 CC/PD 라이선스 확인</x:v>
      </x:c>
      <x:c r="G8" s="13" t="str">
        <x:v>HIGH</x:v>
      </x:c>
      <x:c r="H8" s="13" t="str">
        <x:v>라이선스에 상업이용 금지가 있으면 앱 커버로 사용하지 않음. 작품 클로즈업은 장소 사진 권리와 별도로 작품 저작권 검토.</x:v>
      </x:c>
      <x:c r="I8" s="13" t="str">
        <x:v>creator / source URL / license URI or KOGL type / copyright holder / acquired_at</x:v>
      </x:c>
      <x:c r="J8" s="13" t="str">
        <x:v>https://english.visitseoul.net/area/COEXK-POPSquare/ENPnj8f9x</x:v>
      </x:c>
      <x:c r="K8" s="13" t="str">
        <x:v>NO</x:v>
      </x:c>
      <x:c r="L8" s="13" t="str">
        <x:v>특정 사진 파일을 선정하기 전에는 사용 허가 완료로 표시하지 않음.</x:v>
      </x:c>
    </x:row>
    <x:row r="9">
      <x:c r="A9" s="13" t="str">
        <x:v>SEOUL008</x:v>
      </x:c>
      <x:c r="B9" s="13" t="str">
        <x:v>신세계스퀘어</x:v>
      </x:c>
      <x:c r="C9" s="13" t="str">
        <x:v>민간/복합</x:v>
      </x:c>
      <x:c r="D9" s="13" t="str">
        <x:v>NOT_CLEARED</x:v>
      </x:c>
      <x:c r="E9" s="13" t="str">
        <x:v>직접 촬영 또는 운영사/권리자 공식 허가·프레스킷 사용</x:v>
      </x:c>
      <x:c r="F9" s="13" t="str">
        <x:v>Wikimedia Commons 개별 파일 CC/PD 라이선스 확인</x:v>
      </x:c>
      <x:c r="G9" s="13" t="str">
        <x:v>HIGH</x:v>
      </x:c>
      <x:c r="H9" s="13" t="str">
        <x:v>라이선스에 상업이용 금지가 있으면 앱 커버로 사용하지 않음. 작품 클로즈업은 장소 사진 권리와 별도로 작품 저작권 검토.</x:v>
      </x:c>
      <x:c r="I9" s="13" t="str">
        <x:v>creator / source URL / license URI or KOGL type / copyright holder / acquired_at</x:v>
      </x:c>
      <x:c r="J9" s="13" t="str">
        <x:v>https://www.shinsegae.com/</x:v>
      </x:c>
      <x:c r="K9" s="13" t="str">
        <x:v>NO</x:v>
      </x:c>
      <x:c r="L9" s="13" t="str">
        <x:v>특정 사진 파일을 선정하기 전에는 사용 허가 완료로 표시하지 않음.</x:v>
      </x:c>
    </x:row>
    <x:row r="10">
      <x:c r="A10" s="13" t="str">
        <x:v>SEOUL009</x:v>
      </x:c>
      <x:c r="B10" s="13" t="str">
        <x:v>갤러리아 명품관 WEST 미디어파사드</x:v>
      </x:c>
      <x:c r="C10" s="13" t="str">
        <x:v>민간/복합</x:v>
      </x:c>
      <x:c r="D10" s="13" t="str">
        <x:v>NOT_CLEARED</x:v>
      </x:c>
      <x:c r="E10" s="13" t="str">
        <x:v>직접 촬영 또는 운영사/권리자 공식 허가·프레스킷 사용</x:v>
      </x:c>
      <x:c r="F10" s="13" t="str">
        <x:v>Wikimedia Commons 개별 파일 CC/PD 라이선스 확인</x:v>
      </x:c>
      <x:c r="G10" s="13" t="str">
        <x:v>MEDIUM</x:v>
      </x:c>
      <x:c r="H10" s="13" t="str">
        <x:v>라이선스에 상업이용 금지가 있으면 앱 커버로 사용하지 않음. 작품 클로즈업은 장소 사진 권리와 별도로 작품 저작권 검토.</x:v>
      </x:c>
      <x:c r="I10" s="13" t="str">
        <x:v>creator / source URL / license URI or KOGL type / copyright holder / acquired_at</x:v>
      </x:c>
      <x:c r="J10" s="13" t="str">
        <x:v>https://dept.galleria.co.kr/store-info/luxuryhall/intro</x:v>
      </x:c>
      <x:c r="K10" s="13" t="str">
        <x:v>NO</x:v>
      </x:c>
      <x:c r="L10" s="13" t="str">
        <x:v>특정 사진 파일을 선정하기 전에는 사용 허가 완료로 표시하지 않음.</x:v>
      </x:c>
    </x:row>
    <x:row r="11">
      <x:c r="A11" s="13" t="str">
        <x:v>SEOUL010</x:v>
      </x:c>
      <x:c r="B11" s="13" t="str">
        <x:v>서울스퀘어 미디어 캔버스</x:v>
      </x:c>
      <x:c r="C11" s="13" t="str">
        <x:v>민간/복합</x:v>
      </x:c>
      <x:c r="D11" s="13" t="str">
        <x:v>NOT_CLEARED</x:v>
      </x:c>
      <x:c r="E11" s="13" t="str">
        <x:v>직접 촬영 또는 운영사/권리자 공식 허가·프레스킷 사용</x:v>
      </x:c>
      <x:c r="F11" s="13" t="str">
        <x:v>Wikimedia Commons 개별 파일 CC/PD 라이선스 확인</x:v>
      </x:c>
      <x:c r="G11" s="13" t="str">
        <x:v>HIGH</x:v>
      </x:c>
      <x:c r="H11" s="13" t="str">
        <x:v>라이선스에 상업이용 금지가 있으면 앱 커버로 사용하지 않음. 작품 클로즈업은 장소 사진 권리와 별도로 작품 저작권 검토.</x:v>
      </x:c>
      <x:c r="I11" s="13" t="str">
        <x:v>creator / source URL / license URI or KOGL type / copyright holder / acquired_at</x:v>
      </x:c>
      <x:c r="J11" s="13" t="str">
        <x:v>https://junglim.com/en/seoul-square/</x:v>
      </x:c>
      <x:c r="K11" s="13" t="str">
        <x:v>NO</x:v>
      </x:c>
      <x:c r="L11" s="13" t="str">
        <x:v>특정 사진 파일을 선정하기 전에는 사용 허가 완료로 표시하지 않음.</x:v>
      </x:c>
    </x:row>
    <x:row r="12">
      <x:c r="A12" s="13" t="str">
        <x:v>SEOUL011</x:v>
      </x:c>
      <x:c r="B12" s="13" t="str">
        <x:v>KT스퀘어 옥외전광판</x:v>
      </x:c>
      <x:c r="C12" s="13" t="str">
        <x:v>민간/복합</x:v>
      </x:c>
      <x:c r="D12" s="13" t="str">
        <x:v>NOT_CLEARED</x:v>
      </x:c>
      <x:c r="E12" s="13" t="str">
        <x:v>직접 촬영 또는 운영사/권리자 공식 허가·프레스킷 사용</x:v>
      </x:c>
      <x:c r="F12" s="13" t="str">
        <x:v>직접 촬영</x:v>
      </x:c>
      <x:c r="G12" s="13" t="str">
        <x:v>HIGH</x:v>
      </x:c>
      <x:c r="H12" s="13" t="str">
        <x:v>라이선스에 상업이용 금지가 있으면 앱 커버로 사용하지 않음. 작품 클로즈업은 장소 사진 권리와 별도로 작품 저작권 검토.</x:v>
      </x:c>
      <x:c r="I12" s="13" t="str">
        <x:v>creator / source URL / license URI or KOGL type / copyright holder / acquired_at</x:v>
      </x:c>
      <x:c r="J12" s="13" t="str">
        <x:v>https://www.seoul.go.kr/news/news_report.do?nttNo=464925</x:v>
      </x:c>
      <x:c r="K12" s="13" t="str">
        <x:v>NO</x:v>
      </x:c>
      <x:c r="L12" s="13" t="str">
        <x:v>특정 사진 파일을 선정하기 전에는 사용 허가 완료로 표시하지 않음.</x:v>
      </x:c>
    </x:row>
    <x:row r="13">
      <x:c r="A13" s="13" t="str">
        <x:v>SEOUL012</x:v>
      </x:c>
      <x:c r="B13" s="13" t="str">
        <x:v>K-비전(코리아나호텔)</x:v>
      </x:c>
      <x:c r="C13" s="13" t="str">
        <x:v>민간/복합</x:v>
      </x:c>
      <x:c r="D13" s="13" t="str">
        <x:v>NOT_CLEARED</x:v>
      </x:c>
      <x:c r="E13" s="13" t="str">
        <x:v>직접 촬영 또는 운영사/권리자 공식 허가·프레스킷 사용</x:v>
      </x:c>
      <x:c r="F13" s="13" t="str">
        <x:v>직접 촬영</x:v>
      </x:c>
      <x:c r="G13" s="13" t="str">
        <x:v>HIGH</x:v>
      </x:c>
      <x:c r="H13" s="13" t="str">
        <x:v>라이선스에 상업이용 금지가 있으면 앱 커버로 사용하지 않음. 작품 클로즈업은 장소 사진 권리와 별도로 작품 저작권 검토.</x:v>
      </x:c>
      <x:c r="I13" s="13" t="str">
        <x:v>creator / source URL / license URI or KOGL type / copyright holder / acquired_at</x:v>
      </x:c>
      <x:c r="J13" s="13" t="str">
        <x:v>https://www.seoul.go.kr/news/news_report.do?nttNo=464925</x:v>
      </x:c>
      <x:c r="K13" s="13" t="str">
        <x:v>NO</x:v>
      </x:c>
      <x:c r="L13" s="13" t="str">
        <x:v>특정 사진 파일을 선정하기 전에는 사용 허가 완료로 표시하지 않음.</x:v>
      </x:c>
    </x:row>
    <x:row r="14">
      <x:c r="A14" s="13" t="str">
        <x:v>SEOUL013</x:v>
      </x:c>
      <x:c r="B14" s="13" t="str">
        <x:v>루미 미디어(세광빌딩)</x:v>
      </x:c>
      <x:c r="C14" s="13" t="str">
        <x:v>민간/복합</x:v>
      </x:c>
      <x:c r="D14" s="13" t="str">
        <x:v>NOT_CLEARED</x:v>
      </x:c>
      <x:c r="E14" s="13" t="str">
        <x:v>직접 촬영 또는 운영사/권리자 공식 허가·프레스킷 사용</x:v>
      </x:c>
      <x:c r="F14" s="13" t="str">
        <x:v>직접 촬영</x:v>
      </x:c>
      <x:c r="G14" s="13" t="str">
        <x:v>HIGH</x:v>
      </x:c>
      <x:c r="H14" s="13" t="str">
        <x:v>라이선스에 상업이용 금지가 있으면 앱 커버로 사용하지 않음. 작품 클로즈업은 장소 사진 권리와 별도로 작품 저작권 검토.</x:v>
      </x:c>
      <x:c r="I14" s="13" t="str">
        <x:v>creator / source URL / license URI or KOGL type / copyright holder / acquired_at</x:v>
      </x:c>
      <x:c r="J14" s="13" t="str">
        <x:v>https://www.seoul.go.kr/news/news_report.do?nttNo=464925</x:v>
      </x:c>
      <x:c r="K14" s="13" t="str">
        <x:v>NO</x:v>
      </x:c>
      <x:c r="L14" s="13" t="str">
        <x:v>특정 사진 파일을 선정하기 전에는 사용 허가 완료로 표시하지 않음.</x:v>
      </x:c>
    </x:row>
    <x:row r="15">
      <x:c r="A15" s="13" t="str">
        <x:v>SEOUL014</x:v>
      </x:c>
      <x:c r="B15" s="13" t="str">
        <x:v>LUUX(동아일보)</x:v>
      </x:c>
      <x:c r="C15" s="13" t="str">
        <x:v>민간/복합</x:v>
      </x:c>
      <x:c r="D15" s="13" t="str">
        <x:v>NOT_CLEARED</x:v>
      </x:c>
      <x:c r="E15" s="13" t="str">
        <x:v>직접 촬영 또는 운영사/권리자 공식 허가·프레스킷 사용</x:v>
      </x:c>
      <x:c r="F15" s="13" t="str">
        <x:v>직접 촬영</x:v>
      </x:c>
      <x:c r="G15" s="13" t="str">
        <x:v>HIGH</x:v>
      </x:c>
      <x:c r="H15" s="13" t="str">
        <x:v>라이선스에 상업이용 금지가 있으면 앱 커버로 사용하지 않음. 작품 클로즈업은 장소 사진 권리와 별도로 작품 저작권 검토.</x:v>
      </x:c>
      <x:c r="I15" s="13" t="str">
        <x:v>creator / source URL / license URI or KOGL type / copyright holder / acquired_at</x:v>
      </x:c>
      <x:c r="J15" s="13" t="str">
        <x:v>https://www.seoul.go.kr/news/news_report.do?nttNo=464925</x:v>
      </x:c>
      <x:c r="K15" s="13" t="str">
        <x:v>NO</x:v>
      </x:c>
      <x:c r="L15" s="13" t="str">
        <x:v>특정 사진 파일을 선정하기 전에는 사용 허가 완료로 표시하지 않음.</x:v>
      </x:c>
    </x:row>
    <x:row r="16">
      <x:c r="A16" s="13" t="str">
        <x:v>SEOUL015</x:v>
      </x:c>
      <x:c r="B16" s="13" t="str">
        <x:v>일민미술관 옥외전광판</x:v>
      </x:c>
      <x:c r="C16" s="13" t="str">
        <x:v>민간/복합</x:v>
      </x:c>
      <x:c r="D16" s="13" t="str">
        <x:v>NOT_CLEARED</x:v>
      </x:c>
      <x:c r="E16" s="13" t="str">
        <x:v>직접 촬영 또는 운영사/권리자 공식 허가·프레스킷 사용</x:v>
      </x:c>
      <x:c r="F16" s="13" t="str">
        <x:v>직접 촬영</x:v>
      </x:c>
      <x:c r="G16" s="13" t="str">
        <x:v>HIGH</x:v>
      </x:c>
      <x:c r="H16" s="13" t="str">
        <x:v>라이선스에 상업이용 금지가 있으면 앱 커버로 사용하지 않음. 작품 클로즈업은 장소 사진 권리와 별도로 작품 저작권 검토.</x:v>
      </x:c>
      <x:c r="I16" s="13" t="str">
        <x:v>creator / source URL / license URI or KOGL type / copyright holder / acquired_at</x:v>
      </x:c>
      <x:c r="J16" s="13" t="str">
        <x:v>https://www.seoul.go.kr/news/news_report.do?nttNo=464925</x:v>
      </x:c>
      <x:c r="K16" s="13" t="str">
        <x:v>NO</x:v>
      </x:c>
      <x:c r="L16" s="13" t="str">
        <x:v>특정 사진 파일을 선정하기 전에는 사용 허가 완료로 표시하지 않음.</x:v>
      </x:c>
    </x:row>
    <x:row r="17">
      <x:c r="A17" s="13" t="str">
        <x:v>SEOUL016</x:v>
      </x:c>
      <x:c r="B17" s="13" t="str">
        <x:v>서울로봇인공지능과학관 미디어파사드</x:v>
      </x:c>
      <x:c r="C17" s="13" t="str">
        <x:v>공공기관/공공공간</x:v>
      </x:c>
      <x:c r="D17" s="13" t="str">
        <x:v>ASSET_LEVEL_CHECK_REQUIRED</x:v>
      </x:c>
      <x:c r="E17" s="13" t="str">
        <x:v>정확한 이미지의 공공누리(KOGL) 마크·유형을 자산 단위로 확인</x:v>
      </x:c>
      <x:c r="F17" s="13" t="str">
        <x:v>직접 촬영</x:v>
      </x:c>
      <x:c r="G17" s="13" t="str">
        <x:v>HIGH</x:v>
      </x:c>
      <x:c r="H17" s="13" t="str">
        <x:v>라이선스에 상업이용 금지가 있으면 앱 커버로 사용하지 않음. 작품 클로즈업은 장소 사진 권리와 별도로 작품 저작권 검토.</x:v>
      </x:c>
      <x:c r="I17" s="13" t="str">
        <x:v>creator / source URL / license URI or KOGL type / copyright holder / acquired_at</x:v>
      </x:c>
      <x:c r="J17" s="13" t="str">
        <x:v>https://www.seoul.go.kr/helper/copyright.do</x:v>
      </x:c>
      <x:c r="K17" s="13" t="str">
        <x:v>NO</x:v>
      </x:c>
      <x:c r="L17" s="13" t="str">
        <x:v>특정 사진 파일을 선정하기 전에는 사용 허가 완료로 표시하지 않음.</x:v>
      </x:c>
    </x:row>
    <x:row r="18">
      <x:c r="A18" s="13" t="str">
        <x:v>SEOUL017</x:v>
      </x:c>
      <x:c r="B18" s="13" t="str">
        <x:v>마곡 르웨스트 미디어파사드</x:v>
      </x:c>
      <x:c r="C18" s="13" t="str">
        <x:v>민간/복합</x:v>
      </x:c>
      <x:c r="D18" s="13" t="str">
        <x:v>NOT_CLEARED</x:v>
      </x:c>
      <x:c r="E18" s="13" t="str">
        <x:v>직접 촬영 또는 운영사/권리자 공식 허가·프레스킷 사용</x:v>
      </x:c>
      <x:c r="F18" s="13" t="str">
        <x:v>직접 촬영</x:v>
      </x:c>
      <x:c r="G18" s="13" t="str">
        <x:v>HIGH</x:v>
      </x:c>
      <x:c r="H18" s="13" t="str">
        <x:v>라이선스에 상업이용 금지가 있으면 앱 커버로 사용하지 않음. 작품 클로즈업은 장소 사진 권리와 별도로 작품 저작권 검토.</x:v>
      </x:c>
      <x:c r="I18" s="13" t="str">
        <x:v>creator / source URL / license URI or KOGL type / copyright holder / acquired_at</x:v>
      </x:c>
      <x:c r="J18" s="13" t="str">
        <x:v>https://www.museaward.com/winner-info.php?id=238243</x:v>
      </x:c>
      <x:c r="K18" s="13" t="str">
        <x:v>NO</x:v>
      </x:c>
      <x:c r="L18" s="13" t="str">
        <x:v>특정 사진 파일을 선정하기 전에는 사용 허가 완료로 표시하지 않음.</x:v>
      </x:c>
    </x:row>
    <x:row r="19">
      <x:c r="A19" s="13" t="str">
        <x:v>SEOUL018</x:v>
      </x:c>
      <x:c r="B19" s="13" t="str">
        <x:v>롯데월드타워 미디어파사드</x:v>
      </x:c>
      <x:c r="C19" s="13" t="str">
        <x:v>민간/복합</x:v>
      </x:c>
      <x:c r="D19" s="13" t="str">
        <x:v>NOT_CLEARED</x:v>
      </x:c>
      <x:c r="E19" s="13" t="str">
        <x:v>직접 촬영 또는 운영사/권리자 공식 허가·프레스킷 사용</x:v>
      </x:c>
      <x:c r="F19" s="13" t="str">
        <x:v>Wikimedia Commons 개별 파일 CC/PD 라이선스 확인</x:v>
      </x:c>
      <x:c r="G19" s="13" t="str">
        <x:v>HIGH</x:v>
      </x:c>
      <x:c r="H19" s="13" t="str">
        <x:v>라이선스에 상업이용 금지가 있으면 앱 커버로 사용하지 않음. 작품 클로즈업은 장소 사진 권리와 별도로 작품 저작권 검토.</x:v>
      </x:c>
      <x:c r="I19" s="13" t="str">
        <x:v>creator / source URL / license URI or KOGL type / copyright holder / acquired_at</x:v>
      </x:c>
      <x:c r="J19" s="13" t="str">
        <x:v>https://www.lwt.co.kr/</x:v>
      </x:c>
      <x:c r="K19" s="13" t="str">
        <x:v>NO</x:v>
      </x:c>
      <x:c r="L19" s="13" t="str">
        <x:v>특정 사진 파일을 선정하기 전에는 사용 허가 완료로 표시하지 않음.</x:v>
      </x:c>
    </x:row>
    <x:row r="20">
      <x:c r="A20" s="13" t="str">
        <x:v>SEOUL019</x:v>
      </x:c>
      <x:c r="B20" s="13" t="str">
        <x:v>롯데타운 라이트(영플라자)</x:v>
      </x:c>
      <x:c r="C20" s="13" t="str">
        <x:v>민간/복합</x:v>
      </x:c>
      <x:c r="D20" s="13" t="str">
        <x:v>NOT_CLEARED</x:v>
      </x:c>
      <x:c r="E20" s="13" t="str">
        <x:v>직접 촬영 또는 운영사/권리자 공식 허가·프레스킷 사용</x:v>
      </x:c>
      <x:c r="F20" s="13" t="str">
        <x:v>직접 촬영</x:v>
      </x:c>
      <x:c r="G20" s="13" t="str">
        <x:v>MEDIUM</x:v>
      </x:c>
      <x:c r="H20" s="13" t="str">
        <x:v>라이선스에 상업이용 금지가 있으면 앱 커버로 사용하지 않음. 작품 클로즈업은 장소 사진 권리와 별도로 작품 저작권 검토.</x:v>
      </x:c>
      <x:c r="I20" s="13" t="str">
        <x:v>creator / source URL / license URI or KOGL type / copyright holder / acquired_at</x:v>
      </x:c>
      <x:c r="J20" s="13" t="str">
        <x:v>https://www.lotteshopping.com/</x:v>
      </x:c>
      <x:c r="K20" s="13" t="str">
        <x:v>NO</x:v>
      </x:c>
      <x:c r="L20" s="13" t="str">
        <x:v>특정 사진 파일을 선정하기 전에는 사용 허가 완료로 표시하지 않음.</x:v>
      </x:c>
    </x:row>
    <x:row r="21">
      <x:c r="A21" s="13" t="str">
        <x:v>SEOUL020</x:v>
      </x:c>
      <x:c r="B21" s="13" t="str">
        <x:v>하이커 그라운드</x:v>
      </x:c>
      <x:c r="C21" s="13" t="str">
        <x:v>민간/복합</x:v>
      </x:c>
      <x:c r="D21" s="13" t="str">
        <x:v>NOT_CLEARED</x:v>
      </x:c>
      <x:c r="E21" s="13" t="str">
        <x:v>직접 촬영 또는 운영사/권리자 공식 허가·프레스킷 사용</x:v>
      </x:c>
      <x:c r="F21" s="13" t="str">
        <x:v>TourAPI 이미지정보 후보(해당 콘텐츠 이용조건 확인)</x:v>
      </x:c>
      <x:c r="G21" s="13" t="str">
        <x:v>HIGH</x:v>
      </x:c>
      <x:c r="H21" s="13" t="str">
        <x:v>라이선스에 상업이용 금지가 있으면 앱 커버로 사용하지 않음. 작품 클로즈업은 장소 사진 권리와 별도로 작품 저작권 검토.</x:v>
      </x:c>
      <x:c r="I21" s="13" t="str">
        <x:v>creator / source URL / license URI or KOGL type / copyright holder / acquired_at</x:v>
      </x:c>
      <x:c r="J21" s="13" t="str">
        <x:v>https://english.visitkorea.or.kr/svc/sp/hikr</x:v>
      </x:c>
      <x:c r="K21" s="13" t="str">
        <x:v>NO</x:v>
      </x:c>
      <x:c r="L21" s="13" t="str">
        <x:v>특정 사진 파일을 선정하기 전에는 사용 허가 완료로 표시하지 않음.</x:v>
      </x:c>
    </x:row>
    <x:row r="22">
      <x:c r="A22" s="13" t="str">
        <x:v>SEOUL021</x:v>
      </x:c>
      <x:c r="B22" s="13" t="str">
        <x:v>청계 소울 오션</x:v>
      </x:c>
      <x:c r="C22" s="13" t="str">
        <x:v>민간/복합</x:v>
      </x:c>
      <x:c r="D22" s="13" t="str">
        <x:v>NOT_CLEARED</x:v>
      </x:c>
      <x:c r="E22" s="13" t="str">
        <x:v>직접 촬영 또는 운영사/권리자 공식 허가·프레스킷 사용</x:v>
      </x:c>
      <x:c r="F22" s="13" t="str">
        <x:v>TourAPI 이미지정보 후보(해당 콘텐츠 이용조건 확인)</x:v>
      </x:c>
      <x:c r="G22" s="13" t="str">
        <x:v>HIGH</x:v>
      </x:c>
      <x:c r="H22" s="13" t="str">
        <x:v>라이선스에 상업이용 금지가 있으면 앱 커버로 사용하지 않음. 작품 클로즈업은 장소 사진 권리와 별도로 작품 저작권 검토.</x:v>
      </x:c>
      <x:c r="I22" s="13" t="str">
        <x:v>creator / source URL / license URI or KOGL type / copyright holder / acquired_at</x:v>
      </x:c>
      <x:c r="J22" s="13" t="str">
        <x:v>https://english.visitseoul.net/exhibition/CheonggyeSoulOcean/ENP20kefn</x:v>
      </x:c>
      <x:c r="K22" s="13" t="str">
        <x:v>NO</x:v>
      </x:c>
      <x:c r="L22" s="13" t="str">
        <x:v>특정 사진 파일을 선정하기 전에는 사용 허가 완료로 표시하지 않음.</x:v>
      </x:c>
    </x:row>
    <x:row r="23">
      <x:c r="A23" s="13" t="str">
        <x:v>SEOUL022</x:v>
      </x:c>
      <x:c r="B23" s="13" t="str">
        <x:v>국립중앙박물관 디지털 실감 영상관</x:v>
      </x:c>
      <x:c r="C23" s="13" t="str">
        <x:v>공공기관/공공공간</x:v>
      </x:c>
      <x:c r="D23" s="13" t="str">
        <x:v>ASSET_LEVEL_CHECK_REQUIRED</x:v>
      </x:c>
      <x:c r="E23" s="13" t="str">
        <x:v>정확한 이미지의 공공누리(KOGL) 마크·유형을 자산 단위로 확인</x:v>
      </x:c>
      <x:c r="F23" s="13" t="str">
        <x:v>TourAPI 이미지정보 후보(해당 콘텐츠 이용조건 확인) / Wikimedia Commons 개별 파일 CC/PD 라이선스 확인</x:v>
      </x:c>
      <x:c r="G23" s="13" t="str">
        <x:v>HIGH</x:v>
      </x:c>
      <x:c r="H23" s="13" t="str">
        <x:v>라이선스에 상업이용 금지가 있으면 앱 커버로 사용하지 않음. 작품 클로즈업은 장소 사진 권리와 별도로 작품 저작권 검토.</x:v>
      </x:c>
      <x:c r="I23" s="13" t="str">
        <x:v>creator / source URL / license URI or KOGL type / copyright holder / acquired_at</x:v>
      </x:c>
      <x:c r="J23" s="13" t="str">
        <x:v>https://www.museum.go.kr/</x:v>
      </x:c>
      <x:c r="K23" s="13" t="str">
        <x:v>NO</x:v>
      </x:c>
      <x:c r="L23" s="13" t="str">
        <x:v>특정 사진 파일을 선정하기 전에는 사용 허가 완료로 표시하지 않음.</x:v>
      </x:c>
    </x:row>
    <x:row r="24">
      <x:c r="A24" s="13" t="str">
        <x:v>SEOUL023</x:v>
      </x:c>
      <x:c r="B24" s="13" t="str">
        <x:v>라이트룸 서울</x:v>
      </x:c>
      <x:c r="C24" s="13" t="str">
        <x:v>민간/복합</x:v>
      </x:c>
      <x:c r="D24" s="13" t="str">
        <x:v>NOT_CLEARED</x:v>
      </x:c>
      <x:c r="E24" s="13" t="str">
        <x:v>직접 촬영 또는 운영사/권리자 공식 허가·프레스킷 사용</x:v>
      </x:c>
      <x:c r="F24" s="13" t="str">
        <x:v>직접 촬영</x:v>
      </x:c>
      <x:c r="G24" s="13" t="str">
        <x:v>HIGH</x:v>
      </x:c>
      <x:c r="H24" s="13" t="str">
        <x:v>라이선스에 상업이용 금지가 있으면 앱 커버로 사용하지 않음. 작품 클로즈업은 장소 사진 권리와 별도로 작품 저작권 검토.</x:v>
      </x:c>
      <x:c r="I24" s="13" t="str">
        <x:v>creator / source URL / license URI or KOGL type / copyright holder / acquired_at</x:v>
      </x:c>
      <x:c r="J24" s="13" t="str">
        <x:v>https://lightroomseoul.com/en/</x:v>
      </x:c>
      <x:c r="K24" s="13" t="str">
        <x:v>NO</x:v>
      </x:c>
      <x:c r="L24" s="13" t="str">
        <x:v>특정 사진 파일을 선정하기 전에는 사용 허가 완료로 표시하지 않음.</x:v>
      </x:c>
    </x:row>
    <x:row r="25">
      <x:c r="A25" s="13" t="str">
        <x:v>SEOUL024</x:v>
      </x:c>
      <x:c r="B25" s="13" t="str">
        <x:v>서울시립 서서울미술관</x:v>
      </x:c>
      <x:c r="C25" s="13" t="str">
        <x:v>공공기관/공공공간</x:v>
      </x:c>
      <x:c r="D25" s="13" t="str">
        <x:v>ASSET_LEVEL_CHECK_REQUIRED</x:v>
      </x:c>
      <x:c r="E25" s="13" t="str">
        <x:v>정확한 이미지의 공공누리(KOGL) 마크·유형을 자산 단위로 확인</x:v>
      </x:c>
      <x:c r="F25" s="13" t="str">
        <x:v>직접 촬영</x:v>
      </x:c>
      <x:c r="G25" s="13" t="str">
        <x:v>HIGH</x:v>
      </x:c>
      <x:c r="H25" s="13" t="str">
        <x:v>라이선스에 상업이용 금지가 있으면 앱 커버로 사용하지 않음. 작품 클로즈업은 장소 사진 권리와 별도로 작품 저작권 검토.</x:v>
      </x:c>
      <x:c r="I25" s="13" t="str">
        <x:v>creator / source URL / license URI or KOGL type / copyright holder / acquired_at</x:v>
      </x:c>
      <x:c r="J25" s="13" t="str">
        <x:v>https://www.seoul.go.kr/helper/copyright.do</x:v>
      </x:c>
      <x:c r="K25" s="13" t="str">
        <x:v>NO</x:v>
      </x:c>
      <x:c r="L25" s="13" t="str">
        <x:v>특정 사진 파일을 선정하기 전에는 사용 허가 완료로 표시하지 않음.</x:v>
      </x:c>
    </x:row>
    <x:row r="26">
      <x:c r="A26" s="13" t="str">
        <x:v>SEOUL025</x:v>
      </x:c>
      <x:c r="B26" s="13" t="str">
        <x:v>국립현대미술관 서울</x:v>
      </x:c>
      <x:c r="C26" s="13" t="str">
        <x:v>공공기관/공공공간</x:v>
      </x:c>
      <x:c r="D26" s="13" t="str">
        <x:v>ASSET_LEVEL_CHECK_REQUIRED</x:v>
      </x:c>
      <x:c r="E26" s="13" t="str">
        <x:v>정확한 이미지의 공공누리(KOGL) 마크·유형을 자산 단위로 확인</x:v>
      </x:c>
      <x:c r="F26" s="13" t="str">
        <x:v>Wikimedia Commons 개별 파일 CC/PD 라이선스 확인</x:v>
      </x:c>
      <x:c r="G26" s="13" t="str">
        <x:v>HIGH</x:v>
      </x:c>
      <x:c r="H26" s="13" t="str">
        <x:v>라이선스에 상업이용 금지가 있으면 앱 커버로 사용하지 않음. 작품 클로즈업은 장소 사진 권리와 별도로 작품 저작권 검토.</x:v>
      </x:c>
      <x:c r="I26" s="13" t="str">
        <x:v>creator / source URL / license URI or KOGL type / copyright holder / acquired_at</x:v>
      </x:c>
      <x:c r="J26" s="13" t="str">
        <x:v>https://www.mmca.go.kr/</x:v>
      </x:c>
      <x:c r="K26" s="13" t="str">
        <x:v>NO</x:v>
      </x:c>
      <x:c r="L26" s="13" t="str">
        <x:v>특정 사진 파일을 선정하기 전에는 사용 허가 완료로 표시하지 않음.</x:v>
      </x:c>
    </x:row>
    <x:row r="27">
      <x:c r="A27" s="13" t="str">
        <x:v>SEOUL026</x:v>
      </x:c>
      <x:c r="B27" s="13" t="str">
        <x:v>아트센터 나비</x:v>
      </x:c>
      <x:c r="C27" s="13" t="str">
        <x:v>민간/복합</x:v>
      </x:c>
      <x:c r="D27" s="13" t="str">
        <x:v>NOT_CLEARED</x:v>
      </x:c>
      <x:c r="E27" s="13" t="str">
        <x:v>직접 촬영 또는 운영사/권리자 공식 허가·프레스킷 사용</x:v>
      </x:c>
      <x:c r="F27" s="13" t="str">
        <x:v>직접 촬영</x:v>
      </x:c>
      <x:c r="G27" s="13" t="str">
        <x:v>HIGH</x:v>
      </x:c>
      <x:c r="H27" s="13" t="str">
        <x:v>라이선스에 상업이용 금지가 있으면 앱 커버로 사용하지 않음. 작품 클로즈업은 장소 사진 권리와 별도로 작품 저작권 검토.</x:v>
      </x:c>
      <x:c r="I27" s="13" t="str">
        <x:v>creator / source URL / license URI or KOGL type / copyright holder / acquired_at</x:v>
      </x:c>
      <x:c r="J27" s="13" t="str">
        <x:v>https://www.nabi.or.kr/</x:v>
      </x:c>
      <x:c r="K27" s="13" t="str">
        <x:v>NO</x:v>
      </x:c>
      <x:c r="L27" s="13" t="str">
        <x:v>특정 사진 파일을 선정하기 전에는 사용 허가 완료로 표시하지 않음.</x:v>
      </x:c>
    </x:row>
    <x:row r="28">
      <x:c r="A28" s="13" t="str">
        <x:v>SEOUL027</x:v>
      </x:c>
      <x:c r="B28" s="13" t="str">
        <x:v>리움미술관</x:v>
      </x:c>
      <x:c r="C28" s="13" t="str">
        <x:v>민간/복합</x:v>
      </x:c>
      <x:c r="D28" s="13" t="str">
        <x:v>NOT_CLEARED</x:v>
      </x:c>
      <x:c r="E28" s="13" t="str">
        <x:v>직접 촬영 또는 운영사/권리자 공식 허가·프레스킷 사용</x:v>
      </x:c>
      <x:c r="F28" s="13" t="str">
        <x:v>TourAPI 이미지정보 후보(해당 콘텐츠 이용조건 확인) / Wikimedia Commons 개별 파일 CC/PD 라이선스 확인</x:v>
      </x:c>
      <x:c r="G28" s="13" t="str">
        <x:v>HIGH</x:v>
      </x:c>
      <x:c r="H28" s="13" t="str">
        <x:v>라이선스에 상업이용 금지가 있으면 앱 커버로 사용하지 않음. 작품 클로즈업은 장소 사진 권리와 별도로 작품 저작권 검토.</x:v>
      </x:c>
      <x:c r="I28" s="13" t="str">
        <x:v>creator / source URL / license URI or KOGL type / copyright holder / acquired_at</x:v>
      </x:c>
      <x:c r="J28" s="13" t="str">
        <x:v>https://www.leeumhoam.org/leeum</x:v>
      </x:c>
      <x:c r="K28" s="13" t="str">
        <x:v>NO</x:v>
      </x:c>
      <x:c r="L28" s="13" t="str">
        <x:v>특정 사진 파일을 선정하기 전에는 사용 허가 완료로 표시하지 않음.</x:v>
      </x:c>
    </x:row>
    <x:row r="29">
      <x:c r="A29" s="13" t="str">
        <x:v>SEOUL028</x:v>
      </x:c>
      <x:c r="B29" s="13" t="str">
        <x:v>디뮤지엄</x:v>
      </x:c>
      <x:c r="C29" s="13" t="str">
        <x:v>민간/복합</x:v>
      </x:c>
      <x:c r="D29" s="13" t="str">
        <x:v>NOT_CLEARED</x:v>
      </x:c>
      <x:c r="E29" s="13" t="str">
        <x:v>직접 촬영 또는 운영사/권리자 공식 허가·프레스킷 사용</x:v>
      </x:c>
      <x:c r="F29" s="13" t="str">
        <x:v>TourAPI 이미지정보 후보(해당 콘텐츠 이용조건 확인)</x:v>
      </x:c>
      <x:c r="G29" s="13" t="str">
        <x:v>HIGH</x:v>
      </x:c>
      <x:c r="H29" s="13" t="str">
        <x:v>라이선스에 상업이용 금지가 있으면 앱 커버로 사용하지 않음. 작품 클로즈업은 장소 사진 권리와 별도로 작품 저작권 검토.</x:v>
      </x:c>
      <x:c r="I29" s="13" t="str">
        <x:v>creator / source URL / license URI or KOGL type / copyright holder / acquired_at</x:v>
      </x:c>
      <x:c r="J29" s="13" t="str">
        <x:v>https://www.daelimmuseum.org/dmuseum</x:v>
      </x:c>
      <x:c r="K29" s="13" t="str">
        <x:v>NO</x:v>
      </x:c>
      <x:c r="L29" s="13" t="str">
        <x:v>특정 사진 파일을 선정하기 전에는 사용 허가 완료로 표시하지 않음.</x:v>
      </x:c>
    </x:row>
    <x:row r="30">
      <x:c r="A30" s="13" t="str">
        <x:v>SEOUL029</x:v>
      </x:c>
      <x:c r="B30" s="13" t="str">
        <x:v>플랫폼엘 컨템포러리 아트센터</x:v>
      </x:c>
      <x:c r="C30" s="13" t="str">
        <x:v>민간/복합</x:v>
      </x:c>
      <x:c r="D30" s="13" t="str">
        <x:v>NOT_CLEARED</x:v>
      </x:c>
      <x:c r="E30" s="13" t="str">
        <x:v>직접 촬영 또는 운영사/권리자 공식 허가·프레스킷 사용</x:v>
      </x:c>
      <x:c r="F30" s="13" t="str">
        <x:v>직접 촬영</x:v>
      </x:c>
      <x:c r="G30" s="13" t="str">
        <x:v>HIGH</x:v>
      </x:c>
      <x:c r="H30" s="13" t="str">
        <x:v>라이선스에 상업이용 금지가 있으면 앱 커버로 사용하지 않음. 작품 클로즈업은 장소 사진 권리와 별도로 작품 저작권 검토.</x:v>
      </x:c>
      <x:c r="I30" s="13" t="str">
        <x:v>creator / source URL / license URI or KOGL type / copyright holder / acquired_at</x:v>
      </x:c>
      <x:c r="J30" s="13" t="str">
        <x:v>https://platform-l.org/</x:v>
      </x:c>
      <x:c r="K30" s="13" t="str">
        <x:v>NO</x:v>
      </x:c>
      <x:c r="L30" s="13" t="str">
        <x:v>특정 사진 파일을 선정하기 전에는 사용 허가 완료로 표시하지 않음.</x:v>
      </x:c>
    </x:row>
    <x:row r="31">
      <x:c r="A31" s="13" t="str">
        <x:v>SEOUL030</x:v>
      </x:c>
      <x:c r="B31" s="13" t="str">
        <x:v>스페이스K 서울</x:v>
      </x:c>
      <x:c r="C31" s="13" t="str">
        <x:v>민간/복합</x:v>
      </x:c>
      <x:c r="D31" s="13" t="str">
        <x:v>NOT_CLEARED</x:v>
      </x:c>
      <x:c r="E31" s="13" t="str">
        <x:v>직접 촬영 또는 운영사/권리자 공식 허가·프레스킷 사용</x:v>
      </x:c>
      <x:c r="F31" s="13" t="str">
        <x:v>직접 촬영</x:v>
      </x:c>
      <x:c r="G31" s="13" t="str">
        <x:v>HIGH</x:v>
      </x:c>
      <x:c r="H31" s="13" t="str">
        <x:v>라이선스에 상업이용 금지가 있으면 앱 커버로 사용하지 않음. 작품 클로즈업은 장소 사진 권리와 별도로 작품 저작권 검토.</x:v>
      </x:c>
      <x:c r="I31" s="13" t="str">
        <x:v>creator / source URL / license URI or KOGL type / copyright holder / acquired_at</x:v>
      </x:c>
      <x:c r="J31" s="13" t="str">
        <x:v>https://www.spacek.co.kr/</x:v>
      </x:c>
      <x:c r="K31" s="13" t="str">
        <x:v>NO</x:v>
      </x:c>
      <x:c r="L31" s="13" t="str">
        <x:v>특정 사진 파일을 선정하기 전에는 사용 허가 완료로 표시하지 않음.</x:v>
      </x:c>
    </x:row>
    <x:row r="32">
      <x:c r="A32" s="13" t="str">
        <x:v>SEOUL031</x:v>
      </x:c>
      <x:c r="B32" s="13" t="str">
        <x:v>문화역서울284</x:v>
      </x:c>
      <x:c r="C32" s="13" t="str">
        <x:v>공공기관/공공공간</x:v>
      </x:c>
      <x:c r="D32" s="13" t="str">
        <x:v>ASSET_LEVEL_CHECK_REQUIRED</x:v>
      </x:c>
      <x:c r="E32" s="13" t="str">
        <x:v>정확한 이미지의 공공누리(KOGL) 마크·유형을 자산 단위로 확인</x:v>
      </x:c>
      <x:c r="F32" s="13" t="str">
        <x:v>TourAPI 이미지정보 후보(해당 콘텐츠 이용조건 확인) / Wikimedia Commons 개별 파일 CC/PD 라이선스 확인</x:v>
      </x:c>
      <x:c r="G32" s="13" t="str">
        <x:v>HIGH</x:v>
      </x:c>
      <x:c r="H32" s="13" t="str">
        <x:v>라이선스에 상업이용 금지가 있으면 앱 커버로 사용하지 않음. 작품 클로즈업은 장소 사진 권리와 별도로 작품 저작권 검토.</x:v>
      </x:c>
      <x:c r="I32" s="13" t="str">
        <x:v>creator / source URL / license URI or KOGL type / copyright holder / acquired_at</x:v>
      </x:c>
      <x:c r="J32" s="13" t="str">
        <x:v>https://www.seoul.go.kr/helper/copyright.do</x:v>
      </x:c>
      <x:c r="K32" s="13" t="str">
        <x:v>NO</x:v>
      </x:c>
      <x:c r="L32" s="13" t="str">
        <x:v>특정 사진 파일을 선정하기 전에는 사용 허가 완료로 표시하지 않음.</x:v>
      </x:c>
    </x:row>
    <x:row r="33">
      <x:c r="A33" s="13" t="str">
        <x:v>SEOUL032</x:v>
      </x:c>
      <x:c r="B33" s="13" t="str">
        <x:v>서울도시건축전시관</x:v>
      </x:c>
      <x:c r="C33" s="13" t="str">
        <x:v>공공기관/공공공간</x:v>
      </x:c>
      <x:c r="D33" s="13" t="str">
        <x:v>ASSET_LEVEL_CHECK_REQUIRED</x:v>
      </x:c>
      <x:c r="E33" s="13" t="str">
        <x:v>정확한 이미지의 공공누리(KOGL) 마크·유형을 자산 단위로 확인</x:v>
      </x:c>
      <x:c r="F33" s="13" t="str">
        <x:v>직접 촬영</x:v>
      </x:c>
      <x:c r="G33" s="13" t="str">
        <x:v>MEDIUM</x:v>
      </x:c>
      <x:c r="H33" s="13" t="str">
        <x:v>라이선스에 상업이용 금지가 있으면 앱 커버로 사용하지 않음. 작품 클로즈업은 장소 사진 권리와 별도로 작품 저작권 검토.</x:v>
      </x:c>
      <x:c r="I33" s="13" t="str">
        <x:v>creator / source URL / license URI or KOGL type / copyright holder / acquired_at</x:v>
      </x:c>
      <x:c r="J33" s="13" t="str">
        <x:v>https://www.seoul.go.kr/helper/copyright.do</x:v>
      </x:c>
      <x:c r="K33" s="13" t="str">
        <x:v>NO</x:v>
      </x:c>
      <x:c r="L33" s="13" t="str">
        <x:v>특정 사진 파일을 선정하기 전에는 사용 허가 완료로 표시하지 않음.</x:v>
      </x:c>
    </x:row>
    <x:row r="34">
      <x:c r="A34" s="13" t="str">
        <x:v>SEOUL033</x:v>
      </x:c>
      <x:c r="B34" s="13" t="str">
        <x:v>문화비축기지 T4·T5</x:v>
      </x:c>
      <x:c r="C34" s="13" t="str">
        <x:v>공공기관/공공공간</x:v>
      </x:c>
      <x:c r="D34" s="13" t="str">
        <x:v>ASSET_LEVEL_CHECK_REQUIRED</x:v>
      </x:c>
      <x:c r="E34" s="13" t="str">
        <x:v>정확한 이미지의 공공누리(KOGL) 마크·유형을 자산 단위로 확인</x:v>
      </x:c>
      <x:c r="F34" s="13" t="str">
        <x:v>Wikimedia Commons 개별 파일 CC/PD 라이선스 확인</x:v>
      </x:c>
      <x:c r="G34" s="13" t="str">
        <x:v>HIGH</x:v>
      </x:c>
      <x:c r="H34" s="13" t="str">
        <x:v>라이선스에 상업이용 금지가 있으면 앱 커버로 사용하지 않음. 작품 클로즈업은 장소 사진 권리와 별도로 작품 저작권 검토.</x:v>
      </x:c>
      <x:c r="I34" s="13" t="str">
        <x:v>creator / source URL / license URI or KOGL type / copyright holder / acquired_at</x:v>
      </x:c>
      <x:c r="J34" s="13" t="str">
        <x:v>https://www.seoul.go.kr/helper/copyright.do</x:v>
      </x:c>
      <x:c r="K34" s="13" t="str">
        <x:v>NO</x:v>
      </x:c>
      <x:c r="L34" s="13" t="str">
        <x:v>특정 사진 파일을 선정하기 전에는 사용 허가 완료로 표시하지 않음.</x:v>
      </x:c>
    </x:row>
    <x:row r="35">
      <x:c r="A35" s="13" t="str">
        <x:v>SEOUL034</x:v>
      </x:c>
      <x:c r="B35" s="13" t="str">
        <x:v>서울시립 사진미술관</x:v>
      </x:c>
      <x:c r="C35" s="13" t="str">
        <x:v>공공기관/공공공간</x:v>
      </x:c>
      <x:c r="D35" s="13" t="str">
        <x:v>ASSET_LEVEL_CHECK_REQUIRED</x:v>
      </x:c>
      <x:c r="E35" s="13" t="str">
        <x:v>정확한 이미지의 공공누리(KOGL) 마크·유형을 자산 단위로 확인</x:v>
      </x:c>
      <x:c r="F35" s="13" t="str">
        <x:v>직접 촬영</x:v>
      </x:c>
      <x:c r="G35" s="13" t="str">
        <x:v>HIGH</x:v>
      </x:c>
      <x:c r="H35" s="13" t="str">
        <x:v>라이선스에 상업이용 금지가 있으면 앱 커버로 사용하지 않음. 작품 클로즈업은 장소 사진 권리와 별도로 작품 저작권 검토.</x:v>
      </x:c>
      <x:c r="I35" s="13" t="str">
        <x:v>creator / source URL / license URI or KOGL type / copyright holder / acquired_at</x:v>
      </x:c>
      <x:c r="J35" s="13" t="str">
        <x:v>https://www.seoul.go.kr/helper/copyright.do</x:v>
      </x:c>
      <x:c r="K35" s="13" t="str">
        <x:v>NO</x:v>
      </x:c>
      <x:c r="L35" s="13" t="str">
        <x:v>특정 사진 파일을 선정하기 전에는 사용 허가 완료로 표시하지 않음.</x:v>
      </x:c>
    </x:row>
    <x:row r="36">
      <x:c r="A36" s="13" t="str">
        <x:v>SEOUL035</x:v>
      </x:c>
      <x:c r="B36" s="13" t="str">
        <x:v>서울시립미술관 서소문본관</x:v>
      </x:c>
      <x:c r="C36" s="13" t="str">
        <x:v>공공기관/공공공간</x:v>
      </x:c>
      <x:c r="D36" s="13" t="str">
        <x:v>ASSET_LEVEL_CHECK_REQUIRED</x:v>
      </x:c>
      <x:c r="E36" s="13" t="str">
        <x:v>정확한 이미지의 공공누리(KOGL) 마크·유형을 자산 단위로 확인</x:v>
      </x:c>
      <x:c r="F36" s="13" t="str">
        <x:v>직접 촬영</x:v>
      </x:c>
      <x:c r="G36" s="13" t="str">
        <x:v>HIGH</x:v>
      </x:c>
      <x:c r="H36" s="13" t="str">
        <x:v>라이선스에 상업이용 금지가 있으면 앱 커버로 사용하지 않음. 작품 클로즈업은 장소 사진 권리와 별도로 작품 저작권 검토.</x:v>
      </x:c>
      <x:c r="I36" s="13" t="str">
        <x:v>creator / source URL / license URI or KOGL type / copyright holder / acquired_at</x:v>
      </x:c>
      <x:c r="J36" s="13" t="str">
        <x:v>https://www.seoul.go.kr/helper/copyright.do</x:v>
      </x:c>
      <x:c r="K36" s="13" t="str">
        <x:v>NO</x:v>
      </x:c>
      <x:c r="L36" s="13" t="str">
        <x:v>특정 사진 파일을 선정하기 전에는 사용 허가 완료로 표시하지 않음.</x:v>
      </x:c>
    </x:row>
    <x:row r="37">
      <x:c r="A37" s="13" t="str">
        <x:v>SEOUL036</x:v>
      </x:c>
      <x:c r="B37" s="13" t="str">
        <x:v>서울시립 북서울미술관</x:v>
      </x:c>
      <x:c r="C37" s="13" t="str">
        <x:v>공공기관/공공공간</x:v>
      </x:c>
      <x:c r="D37" s="13" t="str">
        <x:v>ASSET_LEVEL_CHECK_REQUIRED</x:v>
      </x:c>
      <x:c r="E37" s="13" t="str">
        <x:v>정확한 이미지의 공공누리(KOGL) 마크·유형을 자산 단위로 확인</x:v>
      </x:c>
      <x:c r="F37" s="13" t="str">
        <x:v>직접 촬영</x:v>
      </x:c>
      <x:c r="G37" s="13" t="str">
        <x:v>HIGH</x:v>
      </x:c>
      <x:c r="H37" s="13" t="str">
        <x:v>라이선스에 상업이용 금지가 있으면 앱 커버로 사용하지 않음. 작품 클로즈업은 장소 사진 권리와 별도로 작품 저작권 검토.</x:v>
      </x:c>
      <x:c r="I37" s="13" t="str">
        <x:v>creator / source URL / license URI or KOGL type / copyright holder / acquired_at</x:v>
      </x:c>
      <x:c r="J37" s="13" t="str">
        <x:v>https://www.seoul.go.kr/helper/copyright.do</x:v>
      </x:c>
      <x:c r="K37" s="13" t="str">
        <x:v>NO</x:v>
      </x:c>
      <x:c r="L37" s="13" t="str">
        <x:v>특정 사진 파일을 선정하기 전에는 사용 허가 완료로 표시하지 않음.</x:v>
      </x:c>
    </x:row>
    <x:row r="38">
      <x:c r="A38" s="13" t="str">
        <x:v>SEOUL037</x:v>
      </x:c>
      <x:c r="B38" s="13" t="str">
        <x:v>서울시립 백남준을 기억하는 집</x:v>
      </x:c>
      <x:c r="C38" s="13" t="str">
        <x:v>공공기관/공공공간</x:v>
      </x:c>
      <x:c r="D38" s="13" t="str">
        <x:v>ASSET_LEVEL_CHECK_REQUIRED</x:v>
      </x:c>
      <x:c r="E38" s="13" t="str">
        <x:v>정확한 이미지의 공공누리(KOGL) 마크·유형을 자산 단위로 확인</x:v>
      </x:c>
      <x:c r="F38" s="13" t="str">
        <x:v>직접 촬영</x:v>
      </x:c>
      <x:c r="G38" s="13" t="str">
        <x:v>HIGH</x:v>
      </x:c>
      <x:c r="H38" s="13" t="str">
        <x:v>라이선스에 상업이용 금지가 있으면 앱 커버로 사용하지 않음. 작품 클로즈업은 장소 사진 권리와 별도로 작품 저작권 검토.</x:v>
      </x:c>
      <x:c r="I38" s="13" t="str">
        <x:v>creator / source URL / license URI or KOGL type / copyright holder / acquired_at</x:v>
      </x:c>
      <x:c r="J38" s="13" t="str">
        <x:v>https://www.seoul.go.kr/helper/copyright.do</x:v>
      </x:c>
      <x:c r="K38" s="13" t="str">
        <x:v>NO</x:v>
      </x:c>
      <x:c r="L38" s="13" t="str">
        <x:v>특정 사진 파일을 선정하기 전에는 사용 허가 완료로 표시하지 않음.</x:v>
      </x:c>
    </x:row>
    <x:row r="39">
      <x:c r="A39" s="13" t="str">
        <x:v>SEOUL038</x:v>
      </x:c>
      <x:c r="B39" s="13" t="str">
        <x:v>서울시청 서울림(林) 미디어월</x:v>
      </x:c>
      <x:c r="C39" s="13" t="str">
        <x:v>공공기관/공공공간</x:v>
      </x:c>
      <x:c r="D39" s="13" t="str">
        <x:v>ASSET_LEVEL_CHECK_REQUIRED</x:v>
      </x:c>
      <x:c r="E39" s="13" t="str">
        <x:v>정확한 이미지의 공공누리(KOGL) 마크·유형을 자산 단위로 확인</x:v>
      </x:c>
      <x:c r="F39" s="13" t="str">
        <x:v>직접 촬영</x:v>
      </x:c>
      <x:c r="G39" s="13" t="str">
        <x:v>HIGH</x:v>
      </x:c>
      <x:c r="H39" s="13" t="str">
        <x:v>라이선스에 상업이용 금지가 있으면 앱 커버로 사용하지 않음. 작품 클로즈업은 장소 사진 권리와 별도로 작품 저작권 검토.</x:v>
      </x:c>
      <x:c r="I39" s="13" t="str">
        <x:v>creator / source URL / license URI or KOGL type / copyright holder / acquired_at</x:v>
      </x:c>
      <x:c r="J39" s="13" t="str">
        <x:v>https://www.seoul.go.kr/helper/copyright.do</x:v>
      </x:c>
      <x:c r="K39" s="13" t="str">
        <x:v>NO</x:v>
      </x:c>
      <x:c r="L39" s="13" t="str">
        <x:v>특정 사진 파일을 선정하기 전에는 사용 허가 완료로 표시하지 않음.</x:v>
      </x:c>
    </x:row>
    <x:row r="40">
      <x:c r="A40" s="13" t="str">
        <x:v>SEOUL039</x:v>
      </x:c>
      <x:c r="B40" s="13" t="str">
        <x:v>피크닉</x:v>
      </x:c>
      <x:c r="C40" s="13" t="str">
        <x:v>민간/복합</x:v>
      </x:c>
      <x:c r="D40" s="13" t="str">
        <x:v>NOT_CLEARED</x:v>
      </x:c>
      <x:c r="E40" s="13" t="str">
        <x:v>직접 촬영 또는 운영사/권리자 공식 허가·프레스킷 사용</x:v>
      </x:c>
      <x:c r="F40" s="13" t="str">
        <x:v>직접 촬영</x:v>
      </x:c>
      <x:c r="G40" s="13" t="str">
        <x:v>HIGH</x:v>
      </x:c>
      <x:c r="H40" s="13" t="str">
        <x:v>라이선스에 상업이용 금지가 있으면 앱 커버로 사용하지 않음. 작품 클로즈업은 장소 사진 권리와 별도로 작품 저작권 검토.</x:v>
      </x:c>
      <x:c r="I40" s="13" t="str">
        <x:v>creator / source URL / license URI or KOGL type / copyright holder / acquired_at</x:v>
      </x:c>
      <x:c r="J40" s="13" t="str">
        <x:v>https://piknic.kr/</x:v>
      </x:c>
      <x:c r="K40" s="13" t="str">
        <x:v>NO</x:v>
      </x:c>
      <x:c r="L40" s="13" t="str">
        <x:v>특정 사진 파일을 선정하기 전에는 사용 허가 완료로 표시하지 않음.</x:v>
      </x:c>
    </x:row>
    <x:row r="41">
      <x:c r="A41" s="13" t="str">
        <x:v>SEOUL040</x:v>
      </x:c>
      <x:c r="B41" s="13" t="str">
        <x:v>더현대 서울 ALT.1</x:v>
      </x:c>
      <x:c r="C41" s="13" t="str">
        <x:v>민간/복합</x:v>
      </x:c>
      <x:c r="D41" s="13" t="str">
        <x:v>NOT_CLEARED</x:v>
      </x:c>
      <x:c r="E41" s="13" t="str">
        <x:v>직접 촬영 또는 운영사/권리자 공식 허가·프레스킷 사용</x:v>
      </x:c>
      <x:c r="F41" s="13" t="str">
        <x:v>직접 촬영</x:v>
      </x:c>
      <x:c r="G41" s="13" t="str">
        <x:v>HIGH</x:v>
      </x:c>
      <x:c r="H41" s="13" t="str">
        <x:v>라이선스에 상업이용 금지가 있으면 앱 커버로 사용하지 않음. 작품 클로즈업은 장소 사진 권리와 별도로 작품 저작권 검토.</x:v>
      </x:c>
      <x:c r="I41" s="13" t="str">
        <x:v>creator / source URL / license URI or KOGL type / copyright holder / acquired_at</x:v>
      </x:c>
      <x:c r="J41" s="13" t="str">
        <x:v>https://www.thehyundaiseoul.com/</x:v>
      </x:c>
      <x:c r="K41" s="13" t="str">
        <x:v>NO</x:v>
      </x:c>
      <x:c r="L41" s="13" t="str">
        <x:v>특정 사진 파일을 선정하기 전에는 사용 허가 완료로 표시하지 않음.</x:v>
      </x:c>
    </x:row>
    <x:row r="42">
      <x:c r="A42" s="13" t="str">
        <x:v>SEOUL041</x:v>
      </x:c>
      <x:c r="B42" s="13" t="str">
        <x:v>그라운드시소 이스트</x:v>
      </x:c>
      <x:c r="C42" s="13" t="str">
        <x:v>민간/복합</x:v>
      </x:c>
      <x:c r="D42" s="13" t="str">
        <x:v>NOT_CLEARED</x:v>
      </x:c>
      <x:c r="E42" s="13" t="str">
        <x:v>직접 촬영 또는 운영사/권리자 공식 허가·프레스킷 사용</x:v>
      </x:c>
      <x:c r="F42" s="13" t="str">
        <x:v>직접 촬영</x:v>
      </x:c>
      <x:c r="G42" s="13" t="str">
        <x:v>HIGH</x:v>
      </x:c>
      <x:c r="H42" s="13" t="str">
        <x:v>라이선스에 상업이용 금지가 있으면 앱 커버로 사용하지 않음. 작품 클로즈업은 장소 사진 권리와 별도로 작품 저작권 검토.</x:v>
      </x:c>
      <x:c r="I42" s="13" t="str">
        <x:v>creator / source URL / license URI or KOGL type / copyright holder / acquired_at</x:v>
      </x:c>
      <x:c r="J42" s="13" t="str">
        <x:v>https://groundseesaw.co.kr/</x:v>
      </x:c>
      <x:c r="K42" s="13" t="str">
        <x:v>NO</x:v>
      </x:c>
      <x:c r="L42" s="13" t="str">
        <x:v>특정 사진 파일을 선정하기 전에는 사용 허가 완료로 표시하지 않음.</x:v>
      </x:c>
    </x:row>
    <x:row r="43">
      <x:c r="A43" s="13" t="str">
        <x:v>SEOUL042</x:v>
      </x:c>
      <x:c r="B43" s="13" t="str">
        <x:v>그라운드시소 서촌</x:v>
      </x:c>
      <x:c r="C43" s="13" t="str">
        <x:v>민간/복합</x:v>
      </x:c>
      <x:c r="D43" s="13" t="str">
        <x:v>NOT_CLEARED</x:v>
      </x:c>
      <x:c r="E43" s="13" t="str">
        <x:v>직접 촬영 또는 운영사/권리자 공식 허가·프레스킷 사용</x:v>
      </x:c>
      <x:c r="F43" s="13" t="str">
        <x:v>직접 촬영</x:v>
      </x:c>
      <x:c r="G43" s="13" t="str">
        <x:v>HIGH</x:v>
      </x:c>
      <x:c r="H43" s="13" t="str">
        <x:v>라이선스에 상업이용 금지가 있으면 앱 커버로 사용하지 않음. 작품 클로즈업은 장소 사진 권리와 별도로 작품 저작권 검토.</x:v>
      </x:c>
      <x:c r="I43" s="13" t="str">
        <x:v>creator / source URL / license URI or KOGL type / copyright holder / acquired_at</x:v>
      </x:c>
      <x:c r="J43" s="13" t="str">
        <x:v>https://groundseesaw.co.kr/</x:v>
      </x:c>
      <x:c r="K43" s="13" t="str">
        <x:v>NO</x:v>
      </x:c>
      <x:c r="L43" s="13" t="str">
        <x:v>특정 사진 파일을 선정하기 전에는 사용 허가 완료로 표시하지 않음.</x:v>
      </x:c>
    </x:row>
    <x:row r="44">
      <x:c r="A44" s="13" t="str">
        <x:v>SEOUL043</x:v>
      </x:c>
      <x:c r="B44" s="13" t="str">
        <x:v>N서울타워</x:v>
      </x:c>
      <x:c r="C44" s="13" t="str">
        <x:v>민간/복합</x:v>
      </x:c>
      <x:c r="D44" s="13" t="str">
        <x:v>NOT_CLEARED</x:v>
      </x:c>
      <x:c r="E44" s="13" t="str">
        <x:v>직접 촬영 또는 운영사/권리자 공식 허가·프레스킷 사용</x:v>
      </x:c>
      <x:c r="F44" s="13" t="str">
        <x:v>TourAPI 이미지정보 후보(해당 콘텐츠 이용조건 확인) / Wikimedia Commons 개별 파일 CC/PD 라이선스 확인</x:v>
      </x:c>
      <x:c r="G44" s="13" t="str">
        <x:v>MEDIUM</x:v>
      </x:c>
      <x:c r="H44" s="13" t="str">
        <x:v>라이선스에 상업이용 금지가 있으면 앱 커버로 사용하지 않음. 작품 클로즈업은 장소 사진 권리와 별도로 작품 저작권 검토.</x:v>
      </x:c>
      <x:c r="I44" s="13" t="str">
        <x:v>creator / source URL / license URI or KOGL type / copyright holder / acquired_at</x:v>
      </x:c>
      <x:c r="J44" s="13" t="str">
        <x:v>https://www.nseoultower.co.kr/</x:v>
      </x:c>
      <x:c r="K44" s="13" t="str">
        <x:v>NO</x:v>
      </x:c>
      <x:c r="L44" s="13" t="str">
        <x:v>특정 사진 파일을 선정하기 전에는 사용 허가 완료로 표시하지 않음.</x:v>
      </x:c>
    </x:row>
    <x:row r="45">
      <x:c r="A45" s="13" t="str">
        <x:v>SEOUL044</x:v>
      </x:c>
      <x:c r="B45" s="13" t="str">
        <x:v>세빛섬</x:v>
      </x:c>
      <x:c r="C45" s="13" t="str">
        <x:v>민간/복합</x:v>
      </x:c>
      <x:c r="D45" s="13" t="str">
        <x:v>NOT_CLEARED</x:v>
      </x:c>
      <x:c r="E45" s="13" t="str">
        <x:v>직접 촬영 또는 운영사/권리자 공식 허가·프레스킷 사용</x:v>
      </x:c>
      <x:c r="F45" s="13" t="str">
        <x:v>TourAPI 이미지정보 후보(해당 콘텐츠 이용조건 확인) / Wikimedia Commons 개별 파일 CC/PD 라이선스 확인</x:v>
      </x:c>
      <x:c r="G45" s="13" t="str">
        <x:v>MEDIUM</x:v>
      </x:c>
      <x:c r="H45" s="13" t="str">
        <x:v>라이선스에 상업이용 금지가 있으면 앱 커버로 사용하지 않음. 작품 클로즈업은 장소 사진 권리와 별도로 작품 저작권 검토.</x:v>
      </x:c>
      <x:c r="I45" s="13" t="str">
        <x:v>creator / source URL / license URI or KOGL type / copyright holder / acquired_at</x:v>
      </x:c>
      <x:c r="J45" s="13" t="str">
        <x:v>https://www.somesevit.co.kr/</x:v>
      </x:c>
      <x:c r="K45" s="13" t="str">
        <x:v>NO</x:v>
      </x:c>
      <x:c r="L45" s="13" t="str">
        <x:v>특정 사진 파일을 선정하기 전에는 사용 허가 완료로 표시하지 않음.</x:v>
      </x:c>
    </x:row>
    <x:row r="46">
      <x:c r="A46" s="13" t="str">
        <x:v>SEOUL045</x:v>
      </x:c>
      <x:c r="B46" s="13" t="str">
        <x:v>반포대교 달빛무지개분수</x:v>
      </x:c>
      <x:c r="C46" s="13" t="str">
        <x:v>공공기관/공공공간</x:v>
      </x:c>
      <x:c r="D46" s="13" t="str">
        <x:v>ASSET_LEVEL_CHECK_REQUIRED</x:v>
      </x:c>
      <x:c r="E46" s="13" t="str">
        <x:v>정확한 이미지의 공공누리(KOGL) 마크·유형을 자산 단위로 확인</x:v>
      </x:c>
      <x:c r="F46" s="13" t="str">
        <x:v>TourAPI 이미지정보 후보(해당 콘텐츠 이용조건 확인) / Wikimedia Commons 개별 파일 CC/PD 라이선스 확인</x:v>
      </x:c>
      <x:c r="G46" s="13" t="str">
        <x:v>MEDIUM</x:v>
      </x:c>
      <x:c r="H46" s="13" t="str">
        <x:v>라이선스에 상업이용 금지가 있으면 앱 커버로 사용하지 않음. 작품 클로즈업은 장소 사진 권리와 별도로 작품 저작권 검토.</x:v>
      </x:c>
      <x:c r="I46" s="13" t="str">
        <x:v>creator / source URL / license URI or KOGL type / copyright holder / acquired_at</x:v>
      </x:c>
      <x:c r="J46" s="13" t="str">
        <x:v>https://www.seoul.go.kr/helper/copyright.do</x:v>
      </x:c>
      <x:c r="K46" s="13" t="str">
        <x:v>NO</x:v>
      </x:c>
      <x:c r="L46" s="13" t="str">
        <x:v>특정 사진 파일을 선정하기 전에는 사용 허가 완료로 표시하지 않음.</x:v>
      </x:c>
    </x:row>
    <x:row r="47">
      <x:c r="A47" s="13" t="str">
        <x:v>SEOUL046</x:v>
      </x:c>
      <x:c r="B47" s="13" t="str">
        <x:v>서울로7017 야간조명</x:v>
      </x:c>
      <x:c r="C47" s="13" t="str">
        <x:v>공공기관/공공공간</x:v>
      </x:c>
      <x:c r="D47" s="13" t="str">
        <x:v>ASSET_LEVEL_CHECK_REQUIRED</x:v>
      </x:c>
      <x:c r="E47" s="13" t="str">
        <x:v>정확한 이미지의 공공누리(KOGL) 마크·유형을 자산 단위로 확인</x:v>
      </x:c>
      <x:c r="F47" s="13" t="str">
        <x:v>Wikimedia Commons 개별 파일 CC/PD 라이선스 확인</x:v>
      </x:c>
      <x:c r="G47" s="13" t="str">
        <x:v>MEDIUM</x:v>
      </x:c>
      <x:c r="H47" s="13" t="str">
        <x:v>라이선스에 상업이용 금지가 있으면 앱 커버로 사용하지 않음. 작품 클로즈업은 장소 사진 권리와 별도로 작품 저작권 검토.</x:v>
      </x:c>
      <x:c r="I47" s="13" t="str">
        <x:v>creator / source URL / license URI or KOGL type / copyright holder / acquired_at</x:v>
      </x:c>
      <x:c r="J47" s="13" t="str">
        <x:v>https://www.seoul.go.kr/helper/copyright.do</x:v>
      </x:c>
      <x:c r="K47" s="13" t="str">
        <x:v>NO</x:v>
      </x:c>
      <x:c r="L47" s="13" t="str">
        <x:v>특정 사진 파일을 선정하기 전에는 사용 허가 완료로 표시하지 않음.</x:v>
      </x:c>
    </x:row>
    <x:row r="48">
      <x:c r="A48" s="13" t="str">
        <x:v>SEOUL047</x:v>
      </x:c>
      <x:c r="B48" s="13" t="str">
        <x:v>홍제유연</x:v>
      </x:c>
      <x:c r="C48" s="13" t="str">
        <x:v>공공기관/공공공간</x:v>
      </x:c>
      <x:c r="D48" s="13" t="str">
        <x:v>ASSET_LEVEL_CHECK_REQUIRED</x:v>
      </x:c>
      <x:c r="E48" s="13" t="str">
        <x:v>정확한 이미지의 공공누리(KOGL) 마크·유형을 자산 단위로 확인</x:v>
      </x:c>
      <x:c r="F48" s="13" t="str">
        <x:v>직접 촬영</x:v>
      </x:c>
      <x:c r="G48" s="13" t="str">
        <x:v>HIGH</x:v>
      </x:c>
      <x:c r="H48" s="13" t="str">
        <x:v>라이선스에 상업이용 금지가 있으면 앱 커버로 사용하지 않음. 작품 클로즈업은 장소 사진 권리와 별도로 작품 저작권 검토.</x:v>
      </x:c>
      <x:c r="I48" s="13" t="str">
        <x:v>creator / source URL / license URI or KOGL type / copyright holder / acquired_at</x:v>
      </x:c>
      <x:c r="J48" s="13" t="str">
        <x:v>https://www.seoul.go.kr/helper/copyright.do</x:v>
      </x:c>
      <x:c r="K48" s="13" t="str">
        <x:v>NO</x:v>
      </x:c>
      <x:c r="L48" s="13" t="str">
        <x:v>특정 사진 파일을 선정하기 전에는 사용 허가 완료로 표시하지 않음.</x:v>
      </x:c>
    </x:row>
    <x:row r="49">
      <x:c r="A49" s="13" t="str">
        <x:v>SEOUL048</x:v>
      </x:c>
      <x:c r="B49" s="13" t="str">
        <x:v>별마당도서관</x:v>
      </x:c>
      <x:c r="C49" s="13" t="str">
        <x:v>민간/복합</x:v>
      </x:c>
      <x:c r="D49" s="13" t="str">
        <x:v>NOT_CLEARED</x:v>
      </x:c>
      <x:c r="E49" s="13" t="str">
        <x:v>직접 촬영 또는 운영사/권리자 공식 허가·프레스킷 사용</x:v>
      </x:c>
      <x:c r="F49" s="13" t="str">
        <x:v>TourAPI 이미지정보 후보(해당 콘텐츠 이용조건 확인) / Wikimedia Commons 개별 파일 CC/PD 라이선스 확인</x:v>
      </x:c>
      <x:c r="G49" s="13" t="str">
        <x:v>MEDIUM</x:v>
      </x:c>
      <x:c r="H49" s="13" t="str">
        <x:v>라이선스에 상업이용 금지가 있으면 앱 커버로 사용하지 않음. 작품 클로즈업은 장소 사진 권리와 별도로 작품 저작권 검토.</x:v>
      </x:c>
      <x:c r="I49" s="13" t="str">
        <x:v>creator / source URL / license URI or KOGL type / copyright holder / acquired_at</x:v>
      </x:c>
      <x:c r="J49" s="13" t="str">
        <x:v>https://www.starfield.co.kr/coexmall/starfieldLibrary</x:v>
      </x:c>
      <x:c r="K49" s="13" t="str">
        <x:v>NO</x:v>
      </x:c>
      <x:c r="L49" s="13" t="str">
        <x:v>특정 사진 파일을 선정하기 전에는 사용 허가 완료로 표시하지 않음.</x:v>
      </x:c>
    </x:row>
    <x:row r="50">
      <x:c r="A50" s="13" t="str">
        <x:v>SEOUL049</x:v>
      </x:c>
      <x:c r="B50" s="13" t="str">
        <x:v>서울웨이브 아트센터</x:v>
      </x:c>
      <x:c r="C50" s="13" t="str">
        <x:v>민간/복합</x:v>
      </x:c>
      <x:c r="D50" s="13" t="str">
        <x:v>NOT_CLEARED</x:v>
      </x:c>
      <x:c r="E50" s="13" t="str">
        <x:v>직접 촬영 또는 운영사/권리자 공식 허가·프레스킷 사용</x:v>
      </x:c>
      <x:c r="F50" s="13" t="str">
        <x:v>TourAPI 이미지정보 후보(해당 콘텐츠 이용조건 확인)</x:v>
      </x:c>
      <x:c r="G50" s="13" t="str">
        <x:v>MEDIUM</x:v>
      </x:c>
      <x:c r="H50" s="13" t="str">
        <x:v>라이선스에 상업이용 금지가 있으면 앱 커버로 사용하지 않음. 작품 클로즈업은 장소 사진 권리와 별도로 작품 저작권 검토.</x:v>
      </x:c>
      <x:c r="I50" s="13" t="str">
        <x:v>creator / source URL / license URI or KOGL type / copyright holder / acquired_at</x:v>
      </x:c>
      <x:c r="J50" s="13" t="str">
        <x:v>https://www.seoulwave.co.kr/</x:v>
      </x:c>
      <x:c r="K50" s="13" t="str">
        <x:v>NO</x:v>
      </x:c>
      <x:c r="L50" s="13" t="str">
        <x:v>특정 사진 파일을 선정하기 전에는 사용 허가 완료로 표시하지 않음.</x:v>
      </x:c>
    </x:row>
    <x:row r="51">
      <x:c r="A51" s="13" t="str">
        <x:v>SEOUL050</x:v>
      </x:c>
      <x:c r="B51" s="13" t="str">
        <x:v>노원 불빛정원(화랑대 철도공원)</x:v>
      </x:c>
      <x:c r="C51" s="13" t="str">
        <x:v>공공기관/공공공간</x:v>
      </x:c>
      <x:c r="D51" s="13" t="str">
        <x:v>ASSET_LEVEL_CHECK_REQUIRED</x:v>
      </x:c>
      <x:c r="E51" s="13" t="str">
        <x:v>정확한 이미지의 공공누리(KOGL) 마크·유형을 자산 단위로 확인</x:v>
      </x:c>
      <x:c r="F51" s="13" t="str">
        <x:v>TourAPI 이미지정보 후보(해당 콘텐츠 이용조건 확인)</x:v>
      </x:c>
      <x:c r="G51" s="13" t="str">
        <x:v>HIGH</x:v>
      </x:c>
      <x:c r="H51" s="13" t="str">
        <x:v>라이선스에 상업이용 금지가 있으면 앱 커버로 사용하지 않음. 작품 클로즈업은 장소 사진 권리와 별도로 작품 저작권 검토.</x:v>
      </x:c>
      <x:c r="I51" s="13" t="str">
        <x:v>creator / source URL / license URI or KOGL type / copyright holder / acquired_at</x:v>
      </x:c>
      <x:c r="J51" s="13" t="str">
        <x:v>https://www.seoul.go.kr/helper/copyright.do</x:v>
      </x:c>
      <x:c r="K51" s="13" t="str">
        <x:v>NO</x:v>
      </x:c>
      <x:c r="L51" s="13" t="str">
        <x:v>특정 사진 파일을 선정하기 전에는 사용 허가 완료로 표시하지 않음.</x:v>
      </x:c>
    </x:row>
  </x:sheetData>
  <x:conditionalFormatting sqref="D2:D51">
    <x:cfRule type="expression" dxfId="3" priority="1">
      <x:formula>D2="NOT_CLEARED"</x:formula>
    </x:cfRule>
    <x:cfRule type="expression" dxfId="4" priority="2">
      <x:formula>D2="ASSET_LEVEL_CHECK_REQUIRED"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aa09db34f145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0" hidden="0" customWidth="1"/>
    <x:col min="4" max="4" width="22" hidden="0" customWidth="1"/>
    <x:col min="5" max="5" width="18" hidden="0" customWidth="1"/>
    <x:col min="6" max="6" width="26" hidden="0" customWidth="1"/>
    <x:col min="7" max="7" width="78" hidden="0" customWidth="1"/>
    <x:col min="8" max="8" width="70" hidden="0" customWidth="1"/>
  </x:cols>
  <x:sheetData>
    <x:row r="1">
      <x:c r="A1" s="12" t="str">
        <x:v>provider</x:v>
      </x:c>
      <x:c r="B1" s="12" t="str">
        <x:v>coverage</x:v>
      </x:c>
      <x:c r="C1" s="12" t="str">
        <x:v>best_for</x:v>
      </x:c>
      <x:c r="D1" s="12" t="str">
        <x:v>credential</x:v>
      </x:c>
      <x:c r="E1" s="12" t="str">
        <x:v>refresh</x:v>
      </x:c>
      <x:c r="F1" s="12" t="str">
        <x:v>role</x:v>
      </x:c>
      <x:c r="G1" s="12" t="str">
        <x:v>implementation_note</x:v>
      </x:c>
      <x:c r="H1" s="12" t="str">
        <x:v>official_url</x:v>
      </x:c>
    </x:row>
    <x:row r="2">
      <x:c r="A2" s="13" t="str">
        <x:v>Korea TourAPI 4.0</x:v>
      </x:c>
      <x:c r="B2" s="13" t="str">
        <x:v>Korea</x:v>
      </x:c>
      <x:c r="C2" s="13" t="str">
        <x:v>POI·관광지·행사·이미지·동기화목록</x:v>
      </x:c>
      <x:c r="D2" s="13" t="str">
        <x:v>API key</x:v>
      </x:c>
      <x:c r="E2" s="13" t="str">
        <x:v>주기 동기화</x:v>
      </x:c>
      <x:c r="F2" s="13" t="str">
        <x:v>Canonical 후보(이용조건 준수)</x:v>
      </x:c>
      <x:c r="G2" s="13" t="str">
        <x:v>전국 확장 1순위. 약 26만 건 국문 관광정보, 위치/키워드/행사/이미지/동기화 목록 제공.</x:v>
      </x:c>
      <x:c r="H2" s="13" t="str">
        <x:v>https://www.data.go.kr/data/15101578/openapi.do?recommendDataYn=Y</x:v>
      </x:c>
    </x:row>
    <x:row r="3">
      <x:c r="A3" s="13" t="str">
        <x:v>서울 열린데이터광장</x:v>
      </x:c>
      <x:c r="B3" s="13" t="str">
        <x:v>Seoul</x:v>
      </x:c>
      <x:c r="C3" s="13" t="str">
        <x:v>문화행사·문화공간·예약·좌표</x:v>
      </x:c>
      <x:c r="D3" s="13" t="str">
        <x:v>API key</x:v>
      </x:c>
      <x:c r="E3" s="13" t="str">
        <x:v>15분~6시간</x:v>
      </x:c>
      <x:c r="F3" s="13" t="str">
        <x:v>Canonical/Live</x:v>
      </x:c>
      <x:c r="G3" s="13" t="str">
        <x:v>서울 문화행사와 문화공간 OpenAPI를 자동 유입. 앱 편집규칙으로 빛·미디어 관련만 선별.</x:v>
      </x:c>
      <x:c r="H3" s="13" t="str">
        <x:v>https://data.seoul.go.kr/dataList/17/literacyView.do</x:v>
      </x:c>
    </x:row>
    <x:row r="4">
      <x:c r="A4" s="13" t="str">
        <x:v>문화체육관광부/문화포털 API</x:v>
      </x:c>
      <x:c r="B4" s="13" t="str">
        <x:v>Korea</x:v>
      </x:c>
      <x:c r="C4" s="13" t="str">
        <x:v>국립박물관 문화행사·공연/아카이브</x:v>
      </x:c>
      <x:c r="D4" s="13" t="str">
        <x:v>API key 또는 기관 정책</x:v>
      </x:c>
      <x:c r="E4" s="13" t="str">
        <x:v>6~24시간</x:v>
      </x:c>
      <x:c r="F4" s="13" t="str">
        <x:v>Canonical/Live</x:v>
      </x:c>
      <x:c r="G4" s="13" t="str">
        <x:v>전시·행사 보강용.</x:v>
      </x:c>
      <x:c r="H4" s="13" t="str">
        <x:v>https://www.data.go.kr/data/15105222/openapi.do?recommendDataYn=Y</x:v>
      </x:c>
    </x:row>
    <x:row r="5">
      <x:c r="A5" s="13" t="str">
        <x:v>Wikidata</x:v>
      </x:c>
      <x:c r="B5" s="13" t="str">
        <x:v>Global</x:v>
      </x:c>
      <x:c r="C5" s="13" t="str">
        <x:v>장소 식별자·좌표·건축가·개관연도·공식사이트</x:v>
      </x:c>
      <x:c r="D5" s="13" t="str">
        <x:v>없음/공개 SPARQL</x:v>
      </x:c>
      <x:c r="E5" s="13" t="str">
        <x:v>주 1회</x:v>
      </x:c>
      <x:c r="F5" s="13" t="str">
        <x:v>Canonical enrichment</x:v>
      </x:c>
      <x:c r="G5" s="13" t="str">
        <x:v>구조화 데이터 CC0. 장기 식별·지식 그래프에 적합.</x:v>
      </x:c>
      <x:c r="H5" s="13" t="str">
        <x:v>https://www.wikidata.org/wiki/Wikidata:Licensing</x:v>
      </x:c>
    </x:row>
    <x:row r="6">
      <x:c r="A6" s="13" t="str">
        <x:v>OpenStreetMap</x:v>
      </x:c>
      <x:c r="B6" s="13" t="str">
        <x:v>Global</x:v>
      </x:c>
      <x:c r="C6" s="13" t="str">
        <x:v>기초 지리·POI·주소</x:v>
      </x:c>
      <x:c r="D6" s="13" t="str">
        <x:v>공개 데이터(ODbL)</x:v>
      </x:c>
      <x:c r="E6" s="13" t="str">
        <x:v>월/주기</x:v>
      </x:c>
      <x:c r="F6" s="13" t="str">
        <x:v>Canonical geography</x:v>
      </x:c>
      <x:c r="G6" s="13" t="str">
        <x:v>ODbL 출처표시·share-alike 영향 검토. 공개 Nominatim은 1 req/s 제한이라 production bulk에는 자체/상용 provider 권장.</x:v>
      </x:c>
      <x:c r="H6" s="13" t="str">
        <x:v>https://www.openstreetmap.org/copyright</x:v>
      </x:c>
    </x:row>
    <x:row r="7">
      <x:c r="A7" s="13" t="str">
        <x:v>Google Places API</x:v>
      </x:c>
      <x:c r="B7" s="13" t="str">
        <x:v>Global</x:v>
      </x:c>
      <x:c r="C7" s="13" t="str">
        <x:v>POI 검색·영업시간·open_now·사진·Place ID</x:v>
      </x:c>
      <x:c r="D7" s="13" t="str">
        <x:v>Google Cloud key+billing</x:v>
      </x:c>
      <x:c r="E7" s="13" t="str">
        <x:v>요청 시 Live</x:v>
      </x:c>
      <x:c r="F7" s="13" t="str">
        <x:v>Ephemeral overlay</x:v>
      </x:c>
      <x:c r="G7" s="13" t="str">
        <x:v>Place ID는 저장 가능하지만 Places 콘텐츠 저장/캐싱 제한. Google Map/attribution 규칙 준수. 영업시간/존재 확인용 오버레이에 적합.</x:v>
      </x:c>
      <x:c r="H7" s="13" t="str">
        <x:v>https://developers.google.com/maps/documentation/places/web-service/policies</x:v>
      </x:c>
    </x:row>
    <x:row r="8">
      <x:c r="A8" s="13" t="str">
        <x:v>Foursquare Places API</x:v>
      </x:c>
      <x:c r="B8" s="13" t="str">
        <x:v>Global</x:v>
      </x:c>
      <x:c r="C8" s="13" t="str">
        <x:v>POI 검색·상세·카테고리·사진/팁(등급별)</x:v>
      </x:c>
      <x:c r="D8" s="13" t="str">
        <x:v>Service key</x:v>
      </x:c>
      <x:c r="E8" s="13" t="str">
        <x:v>요청 시 Live</x:v>
      </x:c>
      <x:c r="F8" s="13" t="str">
        <x:v>Ephemeral overlay</x:v>
      </x:c>
      <x:c r="G8" s="13" t="str">
        <x:v>전세계 POI 대안. 화면에 Powered by Foursquare 등 약관/캐싱 준수. 2026 과금체계 확인.</x:v>
      </x:c>
      <x:c r="H8" s="13" t="str">
        <x:v>https://foursquare.com/pricing/</x:v>
      </x:c>
    </x:row>
    <x:row r="9">
      <x:c r="A9" s="13" t="str">
        <x:v>Mapbox Search Box</x:v>
      </x:c>
      <x:c r="B9" s="13" t="str">
        <x:v>Global</x:v>
      </x:c>
      <x:c r="C9" s="13" t="str">
        <x:v>POI·주소 검색·autocomplete</x:v>
      </x:c>
      <x:c r="D9" s="13" t="str">
        <x:v>Access token</x:v>
      </x:c>
      <x:c r="E9" s="13" t="str">
        <x:v>요청 시 Live</x:v>
      </x:c>
      <x:c r="F9" s="13" t="str">
        <x:v>Search only</x:v>
      </x:c>
      <x:c r="G9" s="13" t="str">
        <x:v>Search Box 응답은 temporary use 제한이 있어 canonical DB로 저장하지 않음.</x:v>
      </x:c>
      <x:c r="H9" s="13" t="str">
        <x:v>https://docs.mapbox.com/api/search/search-box/</x:v>
      </x:c>
    </x:row>
    <x:row r="10">
      <x:c r="A10" s="13" t="str">
        <x:v>Ticketmaster Discovery</x:v>
      </x:c>
      <x:c r="B10" s="13" t="str">
        <x:v>Global markets</x:v>
      </x:c>
      <x:c r="C10" s="13" t="str">
        <x:v>공연·행사·venue·attraction</x:v>
      </x:c>
      <x:c r="D10" s="13" t="str">
        <x:v>API key</x:v>
      </x:c>
      <x:c r="E10" s="13" t="str">
        <x:v>1~6시간</x:v>
      </x:c>
      <x:c r="F10" s="13" t="str">
        <x:v>Live events</x:v>
      </x:c>
      <x:c r="G10" s="13" t="str">
        <x:v>공연·이벤트 레이어. 미디어아트/빛 축제 키워드·분류 후 에디터 필터.</x:v>
      </x:c>
      <x:c r="H10" s="13" t="str">
        <x:v>https://developer.ticketmaster.com/products-and-docs/apis/discovery-api/v2/</x:v>
      </x:c>
    </x:row>
    <x:row r="11">
      <x:c r="A11" s="13" t="str">
        <x:v>Europeana APIs</x:v>
      </x:c>
      <x:c r="B11" s="13" t="str">
        <x:v>Europe/Global collections</x:v>
      </x:c>
      <x:c r="C11" s="13" t="str">
        <x:v>문화유산 메타데이터·미디어·IIIF·rights</x:v>
      </x:c>
      <x:c r="D11" s="13" t="str">
        <x:v>무료 API key</x:v>
      </x:c>
      <x:c r="E11" s="13" t="str">
        <x:v>일/주</x:v>
      </x:c>
      <x:c r="F11" s="13" t="str">
        <x:v>Enrichment/media candidate</x:v>
      </x:c>
      <x:c r="G11" s="13" t="str">
        <x:v>권리 상태로 필터 가능한 문화 이미지·메타데이터. 장소 운영시간용이 아니라 콘텐츠/아카이브용.</x:v>
      </x:c>
      <x:c r="H11" s="13" t="str">
        <x:v>https://www.europeana.eu/en/apis</x:v>
      </x:c>
    </x:row>
    <x:row r="12">
      <x:c r="A12" s="13" t="str">
        <x:v>Wikimedia Commons</x:v>
      </x:c>
      <x:c r="B12" s="13" t="str">
        <x:v>Global</x:v>
      </x:c>
      <x:c r="C12" s="13" t="str">
        <x:v>장소/건축/작품 이미지</x:v>
      </x:c>
      <x:c r="D12" s="13" t="str">
        <x:v>없음</x:v>
      </x:c>
      <x:c r="E12" s="13" t="str">
        <x:v>필요 시</x:v>
      </x:c>
      <x:c r="F12" s="13" t="str">
        <x:v>Media candidate</x:v>
      </x:c>
      <x:c r="G12" s="13" t="str">
        <x:v>파일별 CC/PD 라이선스를 반드시 확인하고 저작자·라이선스 표기. 외부 핫링크보다 권리 기록 후 자체 Storage 권장.</x:v>
      </x:c>
      <x:c r="H12" s="13" t="str">
        <x:v>https://commons.wikimedia.org/wiki/Commons:Reusing_content_outside_Wikimedia</x:v>
      </x:c>
    </x:row>
  </x:sheetData>
  <x:pageMargins left="0.7" right="0.7" top="0.75" bottom="0.75" header="0.3" footer="0.3"/>
  <x:tableParts count="1">
    <x:tablePart xmlns:r="http://schemas.openxmlformats.org/officeDocument/2006/relationships" r:id="Rd976209cdeca48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2" hidden="0" customWidth="1"/>
    <x:col min="4" max="4" width="46" hidden="0" customWidth="1"/>
    <x:col min="5" max="5" width="18" hidden="0" customWidth="1"/>
    <x:col min="6" max="6" width="70" hidden="0" customWidth="1"/>
  </x:cols>
  <x:sheetData>
    <x:row r="1">
      <x:c r="A1" s="12" t="str">
        <x:v>Layer</x:v>
      </x:c>
      <x:c r="B1" s="12" t="str">
        <x:v>Stored permanently?</x:v>
      </x:c>
      <x:c r="C1" s="12" t="str">
        <x:v>Source examples</x:v>
      </x:c>
      <x:c r="D1" s="12" t="str">
        <x:v>Purpose</x:v>
      </x:c>
      <x:c r="E1" s="12" t="str">
        <x:v>Refresh</x:v>
      </x:c>
      <x:c r="F1" s="12" t="str">
        <x:v>Rule</x:v>
      </x:c>
    </x:row>
    <x:row r="2">
      <x:c r="A2" s="13" t="str">
        <x:v>Editorial Canonical</x:v>
      </x:c>
      <x:c r="B2" s="13" t="str">
        <x:v>YES</x:v>
      </x:c>
      <x:c r="C2" s="13" t="str">
        <x:v>빛의 건축 편집 DB; TourAPI/Seoul open data after license check</x:v>
      </x:c>
      <x:c r="D2" s="13" t="str">
        <x:v>curated place identity, expert explanations, categories</x:v>
      </x:c>
      <x:c r="E2" s="13" t="str">
        <x:v>editorial</x:v>
      </x:c>
      <x:c r="F2" s="13" t="str">
        <x:v>Our truth layer</x:v>
      </x:c>
    </x:row>
    <x:row r="3">
      <x:c r="A3" s="13" t="str">
        <x:v>Open Knowledge</x:v>
      </x:c>
      <x:c r="B3" s="13" t="str">
        <x:v>YES with license</x:v>
      </x:c>
      <x:c r="C3" s="13" t="str">
        <x:v>Wikidata(CC0), OSM(ODbL)</x:v>
      </x:c>
      <x:c r="D3" s="13" t="str">
        <x:v>coordinates/identity/architect/build year/base geo</x:v>
      </x:c>
      <x:c r="E3" s="13" t="str">
        <x:v>weekly/monthly</x:v>
      </x:c>
      <x:c r="F3" s="13" t="str">
        <x:v>Keep provenance + attribution</x:v>
      </x:c>
    </x:row>
    <x:row r="4">
      <x:c r="A4" s="13" t="str">
        <x:v>Live POI Overlay</x:v>
      </x:c>
      <x:c r="B4" s="13" t="str">
        <x:v>NO/EPHEMERAL</x:v>
      </x:c>
      <x:c r="C4" s="13" t="str">
        <x:v>Google Places, Foursquare, Mapbox Search</x:v>
      </x:c>
      <x:c r="D4" s="13" t="str">
        <x:v>open_now, hours, existence, phone, discovery</x:v>
      </x:c>
      <x:c r="E4" s="13" t="str">
        <x:v>on demand/TTL</x:v>
      </x:c>
      <x:c r="F4" s="13" t="str">
        <x:v>Provider IDs stored; fetched content TTL and attribution</x:v>
      </x:c>
    </x:row>
    <x:row r="5">
      <x:c r="A5" s="13" t="str">
        <x:v>Events</x:v>
      </x:c>
      <x:c r="B5" s="13" t="str">
        <x:v>YES/TTL depending license</x:v>
      </x:c>
      <x:c r="C5" s="13" t="str">
        <x:v>TourAPI events, Seoul culture API, Ticketmaster</x:v>
      </x:c>
      <x:c r="D5" s="13" t="str">
        <x:v>what is showing now</x:v>
      </x:c>
      <x:c r="E5" s="13" t="str">
        <x:v>1-6h</x:v>
      </x:c>
      <x:c r="F5" s="13" t="str">
        <x:v>Deduplicate into event identity; preserve source</x:v>
      </x:c>
    </x:row>
    <x:row r="6">
      <x:c r="A6" s="13" t="str">
        <x:v>Media</x:v>
      </x:c>
      <x:c r="B6" s="13" t="str">
        <x:v>ONLY CLEARED ASSET</x:v>
      </x:c>
      <x:c r="C6" s="13" t="str">
        <x:v>Wikimedia Commons, Europeana, TourAPI, operator permission, self-shot</x:v>
      </x:c>
      <x:c r="D6" s="13" t="str">
        <x:v>cover/gallery</x:v>
      </x:c>
      <x:c r="E6" s="13" t="str">
        <x:v>manual/periodic</x:v>
      </x:c>
      <x:c r="F6" s="13" t="str">
        <x:v>Exact license URI/rights statement required</x:v>
      </x:c>
    </x:row>
    <x:row r="7">
      <x:c r="A7" s="13" t="str">
        <x:v>Sync Engine</x:v>
      </x:c>
      <x:c r="B7" s="13" t="str">
        <x:v>Logs only</x:v>
      </x:c>
      <x:c r="C7" s="13" t="str">
        <x:v>Supabase Cron + Edge Functions</x:v>
      </x:c>
      <x:c r="D7" s="13" t="str">
        <x:v>refresh providers and flag changes</x:v>
      </x:c>
      <x:c r="E7" s="13" t="str">
        <x:v>hourly/daily/weekly</x:v>
      </x:c>
      <x:c r="F7" s="13" t="str">
        <x:v>Never overwrite editorial fields automatically without provenance rules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70" hidden="0" customWidth="1"/>
  </x:cols>
  <x:sheetData>
    <x:row r="1">
      <x:c r="A1" s="12" t="str">
        <x:v>Topic</x:v>
      </x:c>
      <x:c r="B1" s="12" t="str">
        <x:v>Rule</x:v>
      </x:c>
      <x:c r="C1" s="12" t="str">
        <x:v>Reference URL</x:v>
      </x:c>
    </x:row>
    <x:row r="2">
      <x:c r="A2" s="13" t="str">
        <x:v>서울시 이미지</x:v>
      </x:c>
      <x:c r="B2" s="13" t="str">
        <x:v>공공누리 마크가 있는 정확한 저작물만 해당 유형 조건에 따라 이용. 서울한컷 일반 정책은 제4유형이며 초상권·상표권 등은 별도 확인.</x:v>
      </x:c>
      <x:c r="C2" s="13" t="str">
        <x:v>https://www.seoul.go.kr/helper/copyright.do</x:v>
      </x:c>
    </x:row>
    <x:row r="3">
      <x:c r="A3" s="13" t="str">
        <x:v>국립박물관</x:v>
      </x:c>
      <x:c r="B3" s="13" t="str">
        <x:v>정확한 자산의 공공누리 표기를 확인. 표기 없는 자료는 기관과 사전 협의.</x:v>
      </x:c>
      <x:c r="C3" s="13" t="str">
        <x:v>https://www.museum.go.kr/</x:v>
      </x:c>
    </x:row>
    <x:row r="4">
      <x:c r="A4" s="13" t="str">
        <x:v>MMCA</x:v>
      </x:c>
      <x:c r="B4" s="13" t="str">
        <x:v>전시/작품 이미지의 재사용은 별도 저작권·이용조건 확인. 자동 수집하지 않음.</x:v>
      </x:c>
      <x:c r="C4" s="13" t="str">
        <x:v>https://www.mmca.go.kr/</x:v>
      </x:c>
    </x:row>
    <x:row r="5">
      <x:c r="A5" s="13" t="str">
        <x:v>TourAPI</x:v>
      </x:c>
      <x:c r="B5" s="13" t="str">
        <x:v>저작권 등에 구애 없이 활용 가능한 관광정보·사진을 선별해 OpenAPI로 제공한다고 안내. 응답 메타/이용조건 보존.</x:v>
      </x:c>
      <x:c r="C5" s="13" t="str">
        <x:v>https://www.data.go.kr/data/15101578/openapi.do?recommendDataYn=Y</x:v>
      </x:c>
    </x:row>
    <x:row r="6">
      <x:c r="A6" s="13" t="str">
        <x:v>Wikimedia Commons</x:v>
      </x:c>
      <x:c r="B6" s="13" t="str">
        <x:v>파일별 CC/PD 조건이 다름. 저작자·라이선스·링크 조건을 파일 단위로 기록.</x:v>
      </x:c>
      <x:c r="C6" s="13" t="str">
        <x:v>https://commons.wikimedia.org/wiki/Commons:Reusing_content_outside_Wikimedia</x:v>
      </x:c>
    </x:row>
    <x:row r="7">
      <x:c r="A7" s="13" t="str">
        <x:v>Europeana/IIIF</x:v>
      </x:c>
      <x:c r="B7" s="13" t="str">
        <x:v>권리 상태를 검색·필터하고 IIIF rights/requiredStatement를 보존.</x:v>
      </x:c>
      <x:c r="C7" s="13" t="str">
        <x:v>https://www.europeana.eu/en/apis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>
      <x:c r="A1" s="22" t="str">
        <x:v>빛의 건축 v0.2 — 검증 · 이미지 권리 · Live Data Architecture</x:v>
      </x:c>
      <x:c r="B1" s="13"/>
      <x:c r="C1" s="13"/>
      <x:c r="D1" s="13"/>
      <x:c r="E1" s="13"/>
      <x:c r="F1" s="13"/>
      <x:c r="G1" s="13"/>
      <x:c r="H1" s="1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2" t="str">
        <x:v>Metric</x:v>
      </x:c>
      <x:c r="B3" s="12" t="str">
        <x:v>Value</x:v>
      </x:c>
      <x:c r="C3" s="13"/>
      <x:c r="D3" s="13"/>
      <x:c r="E3" s="13"/>
      <x:c r="F3" s="13"/>
      <x:c r="G3" s="13"/>
      <x:c r="H3" s="13"/>
    </x:row>
    <x:row r="4">
      <x:c r="A4" s="13" t="str">
        <x:v>Audited places</x:v>
      </x:c>
      <x:c r="B4" s="13" t="n">
        <x:v>50</x:v>
      </x:c>
      <x:c r="C4" s="13"/>
      <x:c r="D4" s="13"/>
      <x:c r="E4" s="13"/>
      <x:c r="F4" s="13"/>
      <x:c r="G4" s="13"/>
      <x:c r="H4" s="13"/>
    </x:row>
    <x:row r="5">
      <x:c r="A5" s="13" t="str">
        <x:v>Launch KEEP</x:v>
      </x:c>
      <x:c r="B5" s="13" t="n">
        <x:f>COUNTIF(Place_Audit_50!M2:M51,"KEEP")</x:f>
        <x:v>24</x:v>
      </x:c>
      <x:c r="C5" s="13"/>
      <x:c r="D5" s="13"/>
      <x:c r="E5" s="13"/>
      <x:c r="F5" s="13"/>
      <x:c r="G5" s="13"/>
      <x:c r="H5" s="13"/>
    </x:row>
    <x:row r="6">
      <x:c r="A6" s="13" t="str">
        <x:v>KEEP_WITH_WARNING</x:v>
      </x:c>
      <x:c r="B6" s="13" t="n">
        <x:f>COUNTIF(Place_Audit_50!M2:M51,"KEEP_WITH_WARNING")</x:f>
        <x:v>23</x:v>
      </x:c>
      <x:c r="C6" s="13"/>
      <x:c r="D6" s="13"/>
      <x:c r="E6" s="13"/>
      <x:c r="F6" s="13"/>
      <x:c r="G6" s="13"/>
      <x:c r="H6" s="13"/>
    </x:row>
    <x:row r="7">
      <x:c r="A7" s="13" t="str">
        <x:v>KEEP_NOT_NOW / UPCOMING</x:v>
      </x:c>
      <x:c r="B7" s="13" t="n">
        <x:f>COUNTIF(Place_Audit_50!M2:M51,"KEEP_NOT_NOW")+COUNTIF(Place_Audit_50!M2:M51,"KEEP_UPCOMING")</x:f>
        <x:v>2</x:v>
      </x:c>
      <x:c r="C7" s="13"/>
      <x:c r="D7" s="13"/>
      <x:c r="E7" s="13"/>
      <x:c r="F7" s="13"/>
      <x:c r="G7" s="13"/>
      <x:c r="H7" s="13"/>
    </x:row>
    <x:row r="8">
      <x:c r="A8" s="13" t="str">
        <x:v>HOLD</x:v>
      </x:c>
      <x:c r="B8" s="13" t="n">
        <x:f>COUNTIF(Place_Audit_50!M2:M51,"HOLD")</x:f>
        <x:v>1</x:v>
      </x:c>
      <x:c r="C8" s="13"/>
      <x:c r="D8" s="13"/>
      <x:c r="E8" s="13"/>
      <x:c r="F8" s="13"/>
      <x:c r="G8" s="13"/>
      <x:c r="H8" s="13"/>
    </x:row>
    <x:row r="9">
      <x:c r="A9" s="13" t="str">
        <x:v>Image assets cleared</x:v>
      </x:c>
      <x:c r="B9" s="13" t="n">
        <x:v>0</x:v>
      </x:c>
      <x:c r="C9" s="13"/>
      <x:c r="D9" s="13"/>
      <x:c r="E9" s="13"/>
      <x:c r="F9" s="13"/>
      <x:c r="G9" s="13"/>
      <x:c r="H9" s="13"/>
    </x:row>
    <x:row r="10">
      <x:c r="A10" s="13" t="str">
        <x:v>Current rows audited</x:v>
      </x:c>
      <x:c r="B10" s="13" t="n">
        <x:v>50</x:v>
      </x:c>
      <x:c r="C10" s="13"/>
      <x:c r="D10" s="13"/>
      <x:c r="E10" s="13"/>
      <x:c r="F10" s="13"/>
      <x:c r="G10" s="13"/>
      <x:c r="H10" s="13"/>
    </x:row>
    <x:row r="11">
      <x:c r="A11" s="13"/>
      <x:c r="B11" s="13"/>
      <x:c r="C11" s="13"/>
      <x:c r="D11" s="13"/>
      <x:c r="E11" s="13"/>
      <x:c r="F11" s="13"/>
      <x:c r="G11" s="13"/>
      <x:c r="H11" s="13"/>
    </x:row>
    <x:row r="12">
      <x:c r="A12" s="12" t="str">
        <x:v>Architecture rule</x:v>
      </x:c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>
      <x:c r="A13" s="13" t="str">
        <x:v>1</x:v>
      </x:c>
      <x:c r="B13" s="13" t="str">
        <x:v>Own editorial DB is canonical. External providers enrich/refresh; do not blindly mirror third-party datasets.</x:v>
      </x:c>
      <x:c r="C13" s="13" t="str"/>
      <x:c r="D13" s="13" t="str"/>
      <x:c r="E13" s="13" t="str"/>
      <x:c r="F13" s="13" t="str"/>
      <x:c r="G13" s="13" t="str"/>
      <x:c r="H13" s="13" t="str"/>
    </x:row>
    <x:row r="14">
      <x:c r="A14" s="13" t="str">
        <x:v>2</x:v>
      </x:c>
      <x:c r="B14" s="13" t="str">
        <x:v>Korea: TourAPI + Seoul OpenAPI first. Global: Wikidata/OSM canonical enrichment + Google/Foursquare live overlay.</x:v>
      </x:c>
      <x:c r="C14" s="13" t="str"/>
      <x:c r="D14" s="13" t="str"/>
      <x:c r="E14" s="13" t="str"/>
      <x:c r="F14" s="13" t="str"/>
      <x:c r="G14" s="13" t="str"/>
      <x:c r="H14" s="13" t="str"/>
    </x:row>
    <x:row r="15">
      <x:c r="A15" s="13" t="str">
        <x:v>3</x:v>
      </x:c>
      <x:c r="B15" s="13" t="str">
        <x:v>Provider IDs and ephemeral live snapshots are separated from permanent editorial data because provider caching/licensing differs.</x:v>
      </x:c>
      <x:c r="C15" s="13" t="str"/>
      <x:c r="D15" s="13" t="str"/>
      <x:c r="E15" s="13" t="str"/>
      <x:c r="F15" s="13" t="str"/>
      <x:c r="G15" s="13" t="str"/>
      <x:c r="H15" s="13" t="str"/>
    </x:row>
    <x:row r="16">
      <x:c r="A16" s="13" t="str">
        <x:v>4</x:v>
      </x:c>
      <x:c r="B16" s="13" t="str">
        <x:v>Images remain NOT CLEARED until the exact file's license/permission is recorded.</x:v>
      </x:c>
      <x:c r="C16" s="13" t="str"/>
      <x:c r="D16" s="13" t="str"/>
      <x:c r="E16" s="13" t="str"/>
      <x:c r="F16" s="13" t="str"/>
      <x:c r="G16" s="13" t="str"/>
      <x:c r="H16" s="13" t="str"/>
    </x:row>
  </x:sheetData>
  <x:mergeCells>
    <x:mergeCell ref="A1:H1"/>
  </x:mergeCells>
  <x:pageMargins left="0.7" right="0.7" top="0.75" bottom="0.75" header="0.3" footer="0.3"/>
</x:worksheet>
</file>