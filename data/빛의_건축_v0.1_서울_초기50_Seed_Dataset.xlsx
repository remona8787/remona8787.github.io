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99687e6eb44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2e9b998f73c42b5"/>
    <x:sheet xmlns:r="http://schemas.openxmlformats.org/officeDocument/2006/relationships" name="PLACES" sheetId="2" r:id="R8a86188af5974cac"/>
    <x:sheet xmlns:r="http://schemas.openxmlformats.org/officeDocument/2006/relationships" name="WORKS" sheetId="3" r:id="R7fab999d0fbb423b"/>
    <x:sheet xmlns:r="http://schemas.openxmlformats.org/officeDocument/2006/relationships" name="SCHEDULE" sheetId="4" r:id="R6c8bbd19d6af4cf6"/>
    <x:sheet xmlns:r="http://schemas.openxmlformats.org/officeDocument/2006/relationships" name="TAGS" sheetId="5" r:id="R7ef4d82385a847af"/>
    <x:sheet xmlns:r="http://schemas.openxmlformats.org/officeDocument/2006/relationships" name="CURATIONS" sheetId="6" r:id="R59be11caed514096"/>
    <x:sheet xmlns:r="http://schemas.openxmlformats.org/officeDocument/2006/relationships" name="CURATION_PLACES" sheetId="7" r:id="R11e056e29fe44d1c"/>
    <x:sheet xmlns:r="http://schemas.openxmlformats.org/officeDocument/2006/relationships" name="SOURCES" sheetId="8" r:id="Rb8778c9b91714749"/>
    <x:sheet xmlns:r="http://schemas.openxmlformats.org/officeDocument/2006/relationships" name="MEDIA" sheetId="9" r:id="R155bbd72e6184265"/>
    <x:sheet xmlns:r="http://schemas.openxmlformats.org/officeDocument/2006/relationships" name="USERS" sheetId="10" r:id="Rb6114f4e777b4752"/>
    <x:sheet xmlns:r="http://schemas.openxmlformats.org/officeDocument/2006/relationships" name="SAVED" sheetId="11" r:id="R3dd0c57f0432402d"/>
    <x:sheet xmlns:r="http://schemas.openxmlformats.org/officeDocument/2006/relationships" name="VISITED" sheetId="12" r:id="Re9c978badd7c4e96"/>
    <x:sheet xmlns:r="http://schemas.openxmlformats.org/officeDocument/2006/relationships" name="SUMMARY" sheetId="13" r:id="Re874ff3bfdf745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2554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E7FF"/>
      </x:patternFill>
    </x:fill>
    <x:fill>
      <x:patternFill patternType="solid">
        <x:fgColor rgb="FF172554"/>
      </x:patternFill>
    </x:fill>
    <x:fill>
      <x:patternFill patternType="solid">
        <x:fgColor rgb="FFEEF2FF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9f7d93d3d4c93" /><Relationship Type="http://schemas.openxmlformats.org/officeDocument/2006/relationships/theme" Target="/xl/theme/theme1.xml" Id="Rdf65343630484e3c" /><Relationship Type="http://schemas.microsoft.com/office/2022/11/relationships/FeaturePropertyBag" Target="/xl/featurePropertyBag/featurePropertyBag.xml" Id="R957ccbfef6e6442d" /><Relationship Type="http://schemas.openxmlformats.org/officeDocument/2006/relationships/sharedStrings" Target="/xl/sharedStrings.xml" Id="R8d7ec1d1ee8646df" /><Relationship Type="http://schemas.openxmlformats.org/officeDocument/2006/relationships/worksheet" Target="/xl/worksheets/sheet1.xml" Id="Rc2e9b998f73c42b5" /><Relationship Type="http://schemas.openxmlformats.org/officeDocument/2006/relationships/worksheet" Target="/xl/worksheets/sheet2.xml" Id="R8a86188af5974cac" /><Relationship Type="http://schemas.openxmlformats.org/officeDocument/2006/relationships/worksheet" Target="/xl/worksheets/sheet3.xml" Id="R7fab999d0fbb423b" /><Relationship Type="http://schemas.openxmlformats.org/officeDocument/2006/relationships/worksheet" Target="/xl/worksheets/sheet4.xml" Id="R6c8bbd19d6af4cf6" /><Relationship Type="http://schemas.openxmlformats.org/officeDocument/2006/relationships/worksheet" Target="/xl/worksheets/sheet5.xml" Id="R7ef4d82385a847af" /><Relationship Type="http://schemas.openxmlformats.org/officeDocument/2006/relationships/worksheet" Target="/xl/worksheets/sheet6.xml" Id="R59be11caed514096" /><Relationship Type="http://schemas.openxmlformats.org/officeDocument/2006/relationships/worksheet" Target="/xl/worksheets/sheet7.xml" Id="R11e056e29fe44d1c" /><Relationship Type="http://schemas.openxmlformats.org/officeDocument/2006/relationships/worksheet" Target="/xl/worksheets/sheet8.xml" Id="Rb8778c9b91714749" /><Relationship Type="http://schemas.openxmlformats.org/officeDocument/2006/relationships/worksheet" Target="/xl/worksheets/sheet9.xml" Id="R155bbd72e6184265" /><Relationship Type="http://schemas.openxmlformats.org/officeDocument/2006/relationships/worksheet" Target="/xl/worksheets/sheet10.xml" Id="Rb6114f4e777b4752" /><Relationship Type="http://schemas.openxmlformats.org/officeDocument/2006/relationships/worksheet" Target="/xl/worksheets/sheet11.xml" Id="R3dd0c57f0432402d" /><Relationship Type="http://schemas.openxmlformats.org/officeDocument/2006/relationships/worksheet" Target="/xl/worksheets/sheet12.xml" Id="Re9c978badd7c4e96" /><Relationship Type="http://schemas.openxmlformats.org/officeDocument/2006/relationships/worksheet" Target="/xl/worksheets/sheet13.xml" Id="Re874ff3bfdf745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1889e6aadd4c9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50개 후보의 1차 카테고리 구성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'SUMMARY'!$D$3:$D$7</c:f>
              <c:strCache>
                <c:ptCount val="0"/>
              </c:strCache>
            </c:strRef>
          </c:cat>
          <c:val>
            <c:numRef>
              <c:f>'SUMMARY'!$E$3:$E$7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1889e6aadd4c9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lacesTable" displayName="PlacesTable" ref="A1:AD51" headerRowCount="1" totalsRowCount="0" totalsRowShown="0">
  <x:tableColumns count="30">
    <x:tableColumn id="1" name="place_id"/>
    <x:tableColumn id="2" name="name_kr"/>
    <x:tableColumn id="3" name="name_en"/>
    <x:tableColumn id="4" name="primary_category"/>
    <x:tableColumn id="5" name="secondary_categories"/>
    <x:tableColumn id="6" name="short_description"/>
    <x:tableColumn id="7" name="description"/>
    <x:tableColumn id="8" name="expert_description"/>
    <x:tableColumn id="9" name="why_it_matters"/>
    <x:tableColumn id="10" name="address"/>
    <x:tableColumn id="11" name="district"/>
    <x:tableColumn id="12" name="latitude"/>
    <x:tableColumn id="13" name="longitude"/>
    <x:tableColumn id="14" name="indoor"/>
    <x:tableColumn id="15" name="free"/>
    <x:tableColumn id="16" name="permanent"/>
    <x:tableColumn id="17" name="status"/>
    <x:tableColumn id="18" name="operational_mode"/>
    <x:tableColumn id="19" name="current_program"/>
    <x:tableColumn id="20" name="program_start"/>
    <x:tableColumn id="21" name="program_end"/>
    <x:tableColumn id="22" name="typical_hours"/>
    <x:tableColumn id="23" name="recommended_time"/>
    <x:tableColumn id="24" name="website"/>
    <x:tableColumn id="25" name="source_url"/>
    <x:tableColumn id="26" name="source_publisher"/>
    <x:tableColumn id="27" name="verified_at"/>
    <x:tableColumn id="28" name="verification_status"/>
    <x:tableColumn id="29" name="MVP_priority"/>
    <x:tableColumn id="30" name="geocode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sTable" displayName="WorksTable" ref="A1:K13" headerRowCount="1" totalsRowCount="0" totalsRowShown="0">
  <x:tableColumns count="11">
    <x:tableColumn id="1" name="work_id"/>
    <x:tableColumn id="2" name="place_id"/>
    <x:tableColumn id="3" name="title"/>
    <x:tableColumn id="4" name="artist"/>
    <x:tableColumn id="5" name="studio"/>
    <x:tableColumn id="6" name="year"/>
    <x:tableColumn id="7" name="media"/>
    <x:tableColumn id="8" name="start_date"/>
    <x:tableColumn id="9" name="end_date"/>
    <x:tableColumn id="10" name="description"/>
    <x:tableColumn id="11" name="official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heduleTable" displayName="ScheduleTable" ref="A1:H13" headerRowCount="1" totalsRowCount="0" totalsRowShown="0">
  <x:tableColumns count="8">
    <x:tableColumn id="1" name="place_id"/>
    <x:tableColumn id="2" name="day_of_week"/>
    <x:tableColumn id="3" name="open_time"/>
    <x:tableColumn id="4" name="close_time"/>
    <x:tableColumn id="5" name="show_interval"/>
    <x:tableColumn id="6" name="last_entry"/>
    <x:tableColumn id="7" name="price_krw"/>
    <x:tableColumn id="8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gsTable" displayName="TagsTable" ref="A1:B270" headerRowCount="1" totalsRowCount="0" totalsRowShown="0">
  <x:tableColumns count="2">
    <x:tableColumn id="1" name="place_id"/>
    <x:tableColumn id="2" name="ta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urationsTable" displayName="CurationsTable" ref="A1:I7" headerRowCount="1" totalsRowCount="0" totalsRowShown="0">
  <x:tableColumns count="9">
    <x:tableColumn id="1" name="curation_id"/>
    <x:tableColumn id="2" name="title"/>
    <x:tableColumn id="3" name="subtitle"/>
    <x:tableColumn id="4" name="description"/>
    <x:tableColumn id="5" name="editor"/>
    <x:tableColumn id="6" name="theme"/>
    <x:tableColumn id="7" name="city"/>
    <x:tableColumn id="8" name="estimated_time"/>
    <x:tableColumn id="9" name="published_a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urationPlacesTable" displayName="CurationPlacesTable" ref="A1:D33" headerRowCount="1" totalsRowCount="0" totalsRowShown="0">
  <x:tableColumns count="4">
    <x:tableColumn id="1" name="curation_id"/>
    <x:tableColumn id="2" name="place_id"/>
    <x:tableColumn id="3" name="order"/>
    <x:tableColumn id="4" name="editor_comme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able" displayName="SourcesTable" ref="A1:J51" headerRowCount="1" totalsRowCount="0" totalsRowShown="0">
  <x:tableColumns count="10">
    <x:tableColumn id="1" name="source_id"/>
    <x:tableColumn id="2" name="place_id"/>
    <x:tableColumn id="3" name="work_id"/>
    <x:tableColumn id="4" name="source_type"/>
    <x:tableColumn id="5" name="title"/>
    <x:tableColumn id="6" name="publisher"/>
    <x:tableColumn id="7" name="url"/>
    <x:tableColumn id="8" name="published_date"/>
    <x:tableColumn id="9" name="checked_date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3e04625f034f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9389b774624b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33cd3db8034a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86408a507c4b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fe15b4381648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776a88aadd4b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6fd77e384c4e9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0f8e1e8fa72348a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2" t="str">
        <x:v>빛의 건축 v0.1 — Seoul Seed Dataset</x:v>
      </x:c>
      <x:c r="B1" s="13" t="str"/>
    </x:row>
    <x:row r="2">
      <x:c r="A2" s="14" t="str">
        <x:v>기준일</x:v>
      </x:c>
      <x:c r="B2" s="13" t="str">
        <x:v>2026-09-21</x:v>
      </x:c>
    </x:row>
    <x:row r="3">
      <x:c r="A3" s="14" t="str">
        <x:v>목적</x:v>
      </x:c>
      <x:c r="B3" s="13" t="str">
        <x:v>지도+큐레이션 기반 일반인용 '빛·미디어·건축' 발견 서비스의 서울 초기 50개 후보 DB</x:v>
      </x:c>
    </x:row>
    <x:row r="4">
      <x:c r="A4" s="14" t="str">
        <x:v>범위</x:v>
      </x:c>
      <x:c r="B4" s="13" t="str">
        <x:v>Media Facade / Media Art / Immersive / Light Art / Architecture</x:v>
      </x:c>
    </x:row>
    <x:row r="5">
      <x:c r="A5" s="14" t="str">
        <x:v>검증 원칙</x:v>
      </x:c>
      <x:c r="B5" s="13" t="str">
        <x:v>공식기관·운영기관·공식 관광/미술관 자료를 우선. 최신 프로그램이 확인되지 않는 곳은 status/verification_status에 명시.</x:v>
      </x:c>
    </x:row>
    <x:row r="6">
      <x:c r="A6" s="14" t="str">
        <x:v>중요</x:v>
      </x:c>
      <x:c r="B6" s="13" t="str">
        <x:v>latitude/longitude는 추정값을 넣지 않고 비워 두었다. 실제 앱 적재 시 주소를 Naver/Kakao/Google Geocoding API로 일괄 검증 권장.</x:v>
      </x:c>
    </x:row>
    <x:row r="7">
      <x:c r="A7" s="14" t="str">
        <x:v>status 예시</x:v>
      </x:c>
      <x:c r="B7" s="13" t="str">
        <x:v>active=현재 확인 / active_rotation=공간은 운영, 콘텐츠 순환 / seasonal=시즌형 / verify_current_program=공간은 확인, 현재 프로그램 재확인 / upcoming=오픈 예정</x:v>
      </x:c>
    </x:row>
    <x:row r="8">
      <x:c r="A8" s="14" t="str">
        <x:v>verification_status</x:v>
      </x:c>
      <x:c r="B8" s="13" t="str">
        <x:v>high=공식·최신 근거 강함 / medium=공간·성격은 확인되나 현재 편성 또는 일부 세부사항 추가 확인 필요</x:v>
      </x:c>
    </x:row>
    <x:row r="9">
      <x:c r="A9" s="14" t="str">
        <x:v>MVP_priority</x:v>
      </x:c>
      <x:c r="B9" s="13" t="str">
        <x:v>A=런칭 초기 핵심 / B=초기 확장 / C=2차 검증 후 편입</x:v>
      </x:c>
    </x:row>
    <x:row r="10">
      <x:c r="A10" s="14" t="str">
        <x:v>사진</x:v>
      </x:c>
      <x:c r="B10" s="13" t="str">
        <x:v>MEDIA 시트는 권리관계 때문에 비워 두었다. 실제 서비스에는 image_url뿐 아니라 copyright/photographer/source를 함께 저장.</x:v>
      </x:c>
    </x:row>
    <x:row r="11">
      <x:c r="A11" s="14" t="str">
        <x:v>좌표</x:v>
      </x:c>
      <x:c r="B11" s="13" t="str">
        <x:v>주소가 애매한 일부 민간 스크린은 geocode_status=needs_manual_review로 별도 검수 필요.</x:v>
      </x:c>
    </x:row>
    <x:row r="12">
      <x:c r="A12" s="14" t="str">
        <x:v>시트</x:v>
      </x:c>
      <x:c r="B12" s="13" t="str">
        <x:v>SUMMARY / PLACES / WORKS / SCHEDULE / TAGS / CURATIONS / CURATION_PLACES / SOURCES / MEDIA / USERS / SAVED / VISITED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" hidden="0" customWidth="1"/>
    <x:col min="3" max="3" width="30" hidden="0" customWidth="1"/>
    <x:col min="4" max="4" width="16" hidden="0" customWidth="1"/>
    <x:col min="5" max="5" width="28" hidden="0" customWidth="1"/>
    <x:col min="6" max="6" width="38" hidden="0" customWidth="1"/>
    <x:col min="7" max="7" width="52" hidden="0" customWidth="1"/>
    <x:col min="8" max="8" width="62" hidden="0" customWidth="1"/>
    <x:col min="9" max="9" width="50" hidden="0" customWidth="1"/>
    <x:col min="10" max="10" width="45" hidden="0" customWidth="1"/>
    <x:col min="11" max="11" width="14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  <x:col min="16" max="16" width="10" hidden="0" customWidth="1"/>
    <x:col min="17" max="17" width="20" hidden="0" customWidth="1"/>
    <x:col min="18" max="18" width="22" hidden="0" customWidth="1"/>
    <x:col min="19" max="19" width="34" hidden="0" customWidth="1"/>
    <x:col min="20" max="20" width="14" hidden="0" customWidth="1"/>
    <x:col min="21" max="21" width="14" hidden="0" customWidth="1"/>
    <x:col min="22" max="22" width="30" hidden="0" customWidth="1"/>
    <x:col min="23" max="23" width="18" hidden="0" customWidth="1"/>
    <x:col min="24" max="24" width="42" hidden="0" customWidth="1"/>
    <x:col min="25" max="25" width="58" hidden="0" customWidth="1"/>
    <x:col min="26" max="26" width="22" hidden="0" customWidth="1"/>
    <x:col min="27" max="27" width="14" hidden="0" customWidth="1"/>
    <x:col min="28" max="28" width="16" hidden="0" customWidth="1"/>
    <x:col min="29" max="29" width="12" hidden="0" customWidth="1"/>
    <x:col min="30" max="30" width="22" hidden="0" customWidth="1"/>
  </x:cols>
  <x:sheetData>
    <x:row r="1">
      <x:c r="A1" s="28" t="str">
        <x:v>place_id</x:v>
      </x:c>
      <x:c r="B1" s="28" t="str">
        <x:v>name_kr</x:v>
      </x:c>
      <x:c r="C1" s="28" t="str">
        <x:v>name_en</x:v>
      </x:c>
      <x:c r="D1" s="28" t="str">
        <x:v>primary_category</x:v>
      </x:c>
      <x:c r="E1" s="28" t="str">
        <x:v>secondary_categories</x:v>
      </x:c>
      <x:c r="F1" s="28" t="str">
        <x:v>short_description</x:v>
      </x:c>
      <x:c r="G1" s="28" t="str">
        <x:v>description</x:v>
      </x:c>
      <x:c r="H1" s="28" t="str">
        <x:v>expert_description</x:v>
      </x:c>
      <x:c r="I1" s="28" t="str">
        <x:v>why_it_matters</x:v>
      </x:c>
      <x:c r="J1" s="28" t="str">
        <x:v>address</x:v>
      </x:c>
      <x:c r="K1" s="28" t="str">
        <x:v>district</x:v>
      </x:c>
      <x:c r="L1" s="28" t="str">
        <x:v>latitude</x:v>
      </x:c>
      <x:c r="M1" s="28" t="str">
        <x:v>longitude</x:v>
      </x:c>
      <x:c r="N1" s="28" t="str">
        <x:v>indoor</x:v>
      </x:c>
      <x:c r="O1" s="28" t="str">
        <x:v>free</x:v>
      </x:c>
      <x:c r="P1" s="28" t="str">
        <x:v>permanent</x:v>
      </x:c>
      <x:c r="Q1" s="28" t="str">
        <x:v>status</x:v>
      </x:c>
      <x:c r="R1" s="28" t="str">
        <x:v>operational_mode</x:v>
      </x:c>
      <x:c r="S1" s="28" t="str">
        <x:v>current_program</x:v>
      </x:c>
      <x:c r="T1" s="28" t="str">
        <x:v>program_start</x:v>
      </x:c>
      <x:c r="U1" s="28" t="str">
        <x:v>program_end</x:v>
      </x:c>
      <x:c r="V1" s="28" t="str">
        <x:v>typical_hours</x:v>
      </x:c>
      <x:c r="W1" s="28" t="str">
        <x:v>recommended_time</x:v>
      </x:c>
      <x:c r="X1" s="28" t="str">
        <x:v>website</x:v>
      </x:c>
      <x:c r="Y1" s="28" t="str">
        <x:v>source_url</x:v>
      </x:c>
      <x:c r="Z1" s="28" t="str">
        <x:v>source_publisher</x:v>
      </x:c>
      <x:c r="AA1" s="28" t="str">
        <x:v>verified_at</x:v>
      </x:c>
      <x:c r="AB1" s="28" t="str">
        <x:v>verification_status</x:v>
      </x:c>
      <x:c r="AC1" s="28" t="str">
        <x:v>MVP_priority</x:v>
      </x:c>
      <x:c r="AD1" s="28" t="str">
        <x:v>geocode_status</x:v>
      </x:c>
    </x:row>
    <x:row r="2">
      <x:c r="A2" s="13" t="str">
        <x:v>SEOUL001</x:v>
      </x:c>
      <x:c r="B2" s="13" t="str">
        <x:v>아뜰리에 노들</x:v>
      </x:c>
      <x:c r="C2" s="13" t="str">
        <x:v>Atelier Nodeul</x:v>
      </x:c>
      <x:c r="D2" s="13" t="str">
        <x:v>Media Facade</x:v>
      </x:c>
      <x:c r="E2" s="13" t="str">
        <x:v>Media Art; Light Art</x:v>
      </x:c>
      <x:c r="F2" s="13" t="str">
        <x:v>한강대교 아래에서 만나는 대형 공공 미디어파사드.</x:v>
      </x:c>
      <x:c r="G2" s="13" t="str">
        <x:v>노들섬과 한강대교 하부를 배경으로 미디어아트를 감상하는 서울시 공공 전시 플랫폼이다.</x:v>
      </x:c>
      <x:c r="H2" s="13" t="str">
        <x:v>교량 하부라는 인프라 공간을 미디어 캔버스로 전환해 도시 기반시설과 공공예술을 결합한다. 콘텐츠는 시즌별로 교체된다.</x:v>
      </x:c>
      <x:c r="I2" s="13" t="str">
        <x:v>도시 인프라가 야간 문화공간으로 재해석되는 사례.</x:v>
      </x:c>
      <x:c r="J2" s="13" t="str">
        <x:v>노들섬 한강대교 하부, 서울특별시 용산구 양녕로 445 인근</x:v>
      </x:c>
      <x:c r="K2" s="13" t="str">
        <x:v>용산구</x:v>
      </x:c>
      <x:c r="L2" s="13"/>
      <x:c r="M2" s="13"/>
      <x:c r="N2" s="29" t="b">
        <x:v>0</x:v>
      </x:c>
      <x:c r="O2" s="29" t="b">
        <x:v>1</x:v>
      </x:c>
      <x:c r="P2" s="29" t="b">
        <x:v>1</x:v>
      </x:c>
      <x:c r="Q2" s="13" t="str">
        <x:v>active_rotation</x:v>
      </x:c>
      <x:c r="R2" s="13" t="str">
        <x:v>seasonal_program</x:v>
      </x:c>
      <x:c r="S2" s="13" t="str">
        <x:v>2026 미디어아트 서울 순환 전시</x:v>
      </x:c>
      <x:c r="T2" s="13" t="str"/>
      <x:c r="U2" s="13" t="str"/>
      <x:c r="V2" s="13" t="str">
        <x:v>운영시간은 시즌별 확인</x:v>
      </x:c>
      <x:c r="W2" s="13" t="str">
        <x:v>19:00 이후</x:v>
      </x:c>
      <x:c r="X2" s="13" t="str">
        <x:v>https://news.seoul.go.kr/culture/archives/category/cityscape-news_c1/media-art-seoul_c1/mediart-exhibit-platform-n1</x:v>
      </x:c>
      <x:c r="Y2" s="13" t="str">
        <x:v>https://news.seoul.go.kr/culture/archives/category/cityscape-news_c1/media-art-seoul_c1/mediart-exhibit-platform-n1</x:v>
      </x:c>
      <x:c r="Z2" s="13" t="str">
        <x:v>서울특별시</x:v>
      </x:c>
      <x:c r="AA2" s="13" t="str">
        <x:v>2026-09-21</x:v>
      </x:c>
      <x:c r="AB2" s="13" t="str">
        <x:v>high</x:v>
      </x:c>
      <x:c r="AC2" s="13" t="str">
        <x:v>A</x:v>
      </x:c>
      <x:c r="AD2" s="13" t="str">
        <x:v>needs_geocoding</x:v>
      </x:c>
    </x:row>
    <x:row r="3">
      <x:c r="A3" s="13" t="str">
        <x:v>SEOUL002</x:v>
      </x:c>
      <x:c r="B3" s="13" t="str">
        <x:v>아뜰리에 광화</x:v>
      </x:c>
      <x:c r="C3" s="13" t="str">
        <x:v>Atelier Gwanghwa</x:v>
      </x:c>
      <x:c r="D3" s="13" t="str">
        <x:v>Media Facade</x:v>
      </x:c>
      <x:c r="E3" s="13" t="str">
        <x:v>Media Art; Light Art</x:v>
      </x:c>
      <x:c r="F3" s="13" t="str">
        <x:v>세종문화회관 외벽을 거대한 예술 스크린으로 바꾸는 미디어파사드.</x:v>
      </x:c>
      <x:c r="G3" s="13" t="str">
        <x:v>광화문광장에서 세종문화회관 외벽에 송출되는 서울시 공공 미디어아트 전시 플랫폼이다.</x:v>
      </x:c>
      <x:c r="H3" s="13" t="str">
        <x:v>도심의 대표 문화건축 입면을 비상업적 미디어아트 전시 공간으로 운용한다. 광화문 보행축과 결합해 접근성이 높다.</x:v>
      </x:c>
      <x:c r="I3" s="13" t="str">
        <x:v>건축 입면과 도시광장, 공공 미디어아트가 직접 결합되는 핵심 사례.</x:v>
      </x:c>
      <x:c r="J3" s="13" t="str">
        <x:v>서울특별시 종로구 세종대로 175 세종문화회관 외벽</x:v>
      </x:c>
      <x:c r="K3" s="13" t="str">
        <x:v>종로구</x:v>
      </x:c>
      <x:c r="L3" s="13"/>
      <x:c r="M3" s="13"/>
      <x:c r="N3" s="29" t="b">
        <x:v>0</x:v>
      </x:c>
      <x:c r="O3" s="29" t="b">
        <x:v>1</x:v>
      </x:c>
      <x:c r="P3" s="29" t="b">
        <x:v>1</x:v>
      </x:c>
      <x:c r="Q3" s="13" t="str">
        <x:v>active</x:v>
      </x:c>
      <x:c r="R3" s="13" t="str">
        <x:v>seasonal_program</x:v>
      </x:c>
      <x:c r="S3" s="13" t="str">
        <x:v>물드는 빛</x:v>
      </x:c>
      <x:c r="T3" s="13" t="str">
        <x:v>2026-09-01</x:v>
      </x:c>
      <x:c r="U3" s="13" t="str">
        <x:v>2026-11-30</x:v>
      </x:c>
      <x:c r="V3" s="13" t="str">
        <x:v>19:00-23:00</x:v>
      </x:c>
      <x:c r="W3" s="13" t="str">
        <x:v>19:30 이후</x:v>
      </x:c>
      <x:c r="X3" s="13" t="str">
        <x:v>https://news.seoul.go.kr/culture/archives/category/cityscape-news_c1/media-art-seoul_c1/mediart-exhibit-platform-n1</x:v>
      </x:c>
      <x:c r="Y3" s="13" t="str">
        <x:v>https://news.seoul.go.kr/culture/archives/category/cityscape-news_c1/media-art-seoul_c1/mediart-exhibit-platform-n1</x:v>
      </x:c>
      <x:c r="Z3" s="13" t="str">
        <x:v>서울특별시</x:v>
      </x:c>
      <x:c r="AA3" s="13" t="str">
        <x:v>2026-09-21</x:v>
      </x:c>
      <x:c r="AB3" s="13" t="str">
        <x:v>high</x:v>
      </x:c>
      <x:c r="AC3" s="13" t="str">
        <x:v>A</x:v>
      </x:c>
      <x:c r="AD3" s="13" t="str">
        <x:v>needs_geocoding</x:v>
      </x:c>
    </x:row>
    <x:row r="4">
      <x:c r="A4" s="13" t="str">
        <x:v>SEOUL003</x:v>
      </x:c>
      <x:c r="B4" s="13" t="str">
        <x:v>해치마당 미디어월</x:v>
      </x:c>
      <x:c r="C4" s="13" t="str">
        <x:v>Haechi Madang Media Wall</x:v>
      </x:c>
      <x:c r="D4" s="13" t="str">
        <x:v>Media Art</x:v>
      </x:c>
      <x:c r="E4" s="13" t="str">
        <x:v>Media Wall; Public Art</x:v>
      </x:c>
      <x:c r="F4" s="13" t="str">
        <x:v>광화문광장 지하 진입부에서 낮부터 볼 수 있는 공공 미디어월.</x:v>
      </x:c>
      <x:c r="G4" s="13" t="str">
        <x:v>광화문광장 해치마당의 대형 미디어월에서 계절별 미디어아트 콘텐츠를 상영한다.</x:v>
      </x:c>
      <x:c r="H4" s="13" t="str">
        <x:v>광장과 지하공간을 잇는 경사로 벽면을 미디어 표면으로 활용해 이동 동선 자체를 관람 경험으로 만든다.</x:v>
      </x:c>
      <x:c r="I4" s="13" t="str">
        <x:v>‘찾아가야 하는 미술관’이 아니라 일상 동선 속에서 만나는 미디어아트.</x:v>
      </x:c>
      <x:c r="J4" s="13" t="str">
        <x:v>광화문광장 해치마당, 서울특별시 종로구 세종대로 일대</x:v>
      </x:c>
      <x:c r="K4" s="13" t="str">
        <x:v>종로구</x:v>
      </x:c>
      <x:c r="L4" s="13"/>
      <x:c r="M4" s="13"/>
      <x:c r="N4" s="29" t="b">
        <x:v>0</x:v>
      </x:c>
      <x:c r="O4" s="29" t="b">
        <x:v>1</x:v>
      </x:c>
      <x:c r="P4" s="29" t="b">
        <x:v>1</x:v>
      </x:c>
      <x:c r="Q4" s="13" t="str">
        <x:v>active</x:v>
      </x:c>
      <x:c r="R4" s="13" t="str">
        <x:v>seasonal_program</x:v>
      </x:c>
      <x:c r="S4" s="13" t="str">
        <x:v>순간의 흔적</x:v>
      </x:c>
      <x:c r="T4" s="13" t="str">
        <x:v>2026-09-01</x:v>
      </x:c>
      <x:c r="U4" s="13" t="str">
        <x:v>2026-11-30</x:v>
      </x:c>
      <x:c r="V4" s="13" t="str">
        <x:v>08:00-22:00</x:v>
      </x:c>
      <x:c r="W4" s="13" t="str">
        <x:v>낮~저녁</x:v>
      </x:c>
      <x:c r="X4" s="13" t="str">
        <x:v>https://news.seoul.go.kr/culture/archives/category/cityscape-news_c1/media-art-seoul_c1/mediart-exhibit-platform-n1</x:v>
      </x:c>
      <x:c r="Y4" s="13" t="str">
        <x:v>https://news.seoul.go.kr/culture/archives/category/cityscape-news_c1/media-art-seoul_c1/mediart-exhibit-platform-n1</x:v>
      </x:c>
      <x:c r="Z4" s="13" t="str">
        <x:v>서울특별시</x:v>
      </x:c>
      <x:c r="AA4" s="13" t="str">
        <x:v>2026-09-21</x:v>
      </x:c>
      <x:c r="AB4" s="13" t="str">
        <x:v>high</x:v>
      </x:c>
      <x:c r="AC4" s="13" t="str">
        <x:v>A</x:v>
      </x:c>
      <x:c r="AD4" s="13" t="str">
        <x:v>needs_geocoding</x:v>
      </x:c>
    </x:row>
    <x:row r="5">
      <x:c r="A5" s="13" t="str">
        <x:v>SEOUL004</x:v>
      </x:c>
      <x:c r="B5" s="13" t="str">
        <x:v>오간수교 미디어파사드</x:v>
      </x:c>
      <x:c r="C5" s="13" t="str">
        <x:v>Ogansugyo Media Facade</x:v>
      </x:c>
      <x:c r="D5" s="13" t="str">
        <x:v>Media Facade</x:v>
      </x:c>
      <x:c r="E5" s="13" t="str">
        <x:v>Media Art; Nightscape</x:v>
      </x:c>
      <x:c r="F5" s="13" t="str">
        <x:v>청계천 수변 동선에서 만나는 공공 미디어파사드.</x:v>
      </x:c>
      <x:c r="G5" s="13" t="str">
        <x:v>동대문·청계천 일대에서 시즌별 작품을 송출하는 서울시 미디어아트 전시 플랫폼이다.</x:v>
      </x:c>
      <x:c r="H5" s="13" t="str">
        <x:v>수변 산책 동선과 영상 기반 공공미술을 연결해 야간 보행 경험을 강화하는 사례다.</x:v>
      </x:c>
      <x:c r="I5" s="13" t="str">
        <x:v>청계천 야간 산책과 미디어아트를 함께 경험하기 좋은 지점.</x:v>
      </x:c>
      <x:c r="J5" s="13" t="str">
        <x:v>오간수교 일대, 서울특별시 종로구 종로6가·중구 흥인동 인근</x:v>
      </x:c>
      <x:c r="K5" s="13" t="str">
        <x:v>종로구/중구</x:v>
      </x:c>
      <x:c r="L5" s="13"/>
      <x:c r="M5" s="13"/>
      <x:c r="N5" s="29" t="b">
        <x:v>0</x:v>
      </x:c>
      <x:c r="O5" s="29" t="b">
        <x:v>1</x:v>
      </x:c>
      <x:c r="P5" s="29" t="b">
        <x:v>1</x:v>
      </x:c>
      <x:c r="Q5" s="13" t="str">
        <x:v>active_rotation</x:v>
      </x:c>
      <x:c r="R5" s="13" t="str">
        <x:v>seasonal_program</x:v>
      </x:c>
      <x:c r="S5" s="13" t="str">
        <x:v>2026 미디어아트 서울 순환 전시</x:v>
      </x:c>
      <x:c r="T5" s="13" t="str"/>
      <x:c r="U5" s="13" t="str"/>
      <x:c r="V5" s="13" t="str">
        <x:v>운영시간 시즌별 확인</x:v>
      </x:c>
      <x:c r="W5" s="13" t="str">
        <x:v>20:00 전후</x:v>
      </x:c>
      <x:c r="X5" s="13" t="str">
        <x:v>https://news.seoul.go.kr/culture/archives/category/cityscape-news_c1/media-art-seoul_c1/mediart-exhibit-platform-n1</x:v>
      </x:c>
      <x:c r="Y5" s="13" t="str">
        <x:v>https://news.seoul.go.kr/culture/archives/category/cityscape-news_c1/media-art-seoul_c1/mediart-exhibit-platform-n1</x:v>
      </x:c>
      <x:c r="Z5" s="13" t="str">
        <x:v>서울특별시</x:v>
      </x:c>
      <x:c r="AA5" s="13" t="str">
        <x:v>2026-09-21</x:v>
      </x:c>
      <x:c r="AB5" s="13" t="str">
        <x:v>high</x:v>
      </x:c>
      <x:c r="AC5" s="13" t="str">
        <x:v>A</x:v>
      </x:c>
      <x:c r="AD5" s="13" t="str">
        <x:v>needs_geocoding</x:v>
      </x:c>
    </x:row>
    <x:row r="6">
      <x:c r="A6" s="13" t="str">
        <x:v>SEOUL005</x:v>
      </x:c>
      <x:c r="B6" s="13" t="str">
        <x:v>서울로미디어캔버스</x:v>
      </x:c>
      <x:c r="C6" s="13" t="str">
        <x:v>Seoullo Media Canvas</x:v>
      </x:c>
      <x:c r="D6" s="13" t="str">
        <x:v>Media Art</x:v>
      </x:c>
      <x:c r="E6" s="13" t="str">
        <x:v>Media Facade; Public Art</x:v>
      </x:c>
      <x:c r="F6" s="13" t="str">
        <x:v>서울역 앞 대형 화면에서 신진작가 작품을 만나는 도시 미디어 캔버스.</x:v>
      </x:c>
      <x:c r="G6" s="13" t="str">
        <x:v>만리동광장 앞 대형 스크린을 통해 미디어아트와 영상 콘텐츠를 지속적으로 전시한다.</x:v>
      </x:c>
      <x:c r="H6" s="13" t="str">
        <x:v>교통거점인 서울역의 대규모 유동인구를 공공미술 관람객으로 전환하는 도시형 미디어 플랫폼이다.</x:v>
      </x:c>
      <x:c r="I6" s="13" t="str">
        <x:v>서울역-서울로 산책 코스와 바로 연결되는 접근성 높은 공공 미디어아트.</x:v>
      </x:c>
      <x:c r="J6" s="13" t="str">
        <x:v>서울특별시 중구 만리재로 215</x:v>
      </x:c>
      <x:c r="K6" s="13" t="str">
        <x:v>중구</x:v>
      </x:c>
      <x:c r="L6" s="13"/>
      <x:c r="M6" s="13"/>
      <x:c r="N6" s="29" t="b">
        <x:v>0</x:v>
      </x:c>
      <x:c r="O6" s="29" t="b">
        <x:v>1</x:v>
      </x:c>
      <x:c r="P6" s="29" t="b">
        <x:v>1</x:v>
      </x:c>
      <x:c r="Q6" s="13" t="str">
        <x:v>active</x:v>
      </x:c>
      <x:c r="R6" s="13" t="str">
        <x:v>seasonal_program</x:v>
      </x:c>
      <x:c r="S6" s="13" t="str">
        <x:v>2026 세 번째 전시</x:v>
      </x:c>
      <x:c r="T6" s="13" t="str">
        <x:v>2026-09-21</x:v>
      </x:c>
      <x:c r="U6" s="13" t="str">
        <x:v>2026-11-30</x:v>
      </x:c>
      <x:c r="V6" s="13" t="str">
        <x:v>19:00-23:00</x:v>
      </x:c>
      <x:c r="W6" s="13" t="str">
        <x:v>19:00 이후</x:v>
      </x:c>
      <x:c r="X6" s="13" t="str">
        <x:v>https://news.seoul.go.kr/culture/archives/category/cityscape-news_c1/media-art-seoul_c1/mediart-exhibit-platform-n1</x:v>
      </x:c>
      <x:c r="Y6" s="13" t="str">
        <x:v>https://news.seoul.go.kr/culture/archives/category/cityscape-news_c1/media-art-seoul_c1/mediart-exhibit-platform-n1</x:v>
      </x:c>
      <x:c r="Z6" s="13" t="str">
        <x:v>서울특별시</x:v>
      </x:c>
      <x:c r="AA6" s="13" t="str">
        <x:v>2026-09-21</x:v>
      </x:c>
      <x:c r="AB6" s="13" t="str">
        <x:v>high</x:v>
      </x:c>
      <x:c r="AC6" s="13" t="str">
        <x:v>A</x:v>
      </x:c>
      <x:c r="AD6" s="13" t="str">
        <x:v>needs_geocoding</x:v>
      </x:c>
    </x:row>
    <x:row r="7">
      <x:c r="A7" s="13" t="str">
        <x:v>SEOUL006</x:v>
      </x:c>
      <x:c r="B7" s="13" t="str">
        <x:v>동대문디자인플라자(DDP) / 서울라이트</x:v>
      </x:c>
      <x:c r="C7" s="13" t="str">
        <x:v>DDP / Seoul Light</x:v>
      </x:c>
      <x:c r="D7" s="13" t="str">
        <x:v>Media Facade</x:v>
      </x:c>
      <x:c r="E7" s="13" t="str">
        <x:v>Light Art; Architecture; Media Art</x:v>
      </x:c>
      <x:c r="F7" s="13" t="str">
        <x:v>곡면 건축 전체가 빛과 영상으로 변하는 서울 대표 미디어파사드.</x:v>
      </x:c>
      <x:c r="G7" s="13" t="str">
        <x:v>DDP 외벽을 활용해 대규모 미디어파사드·레이저·조명 콘텐츠를 선보이는 계절형 프로그램이다.</x:v>
      </x:c>
      <x:c r="H7" s="13" t="str">
        <x:v>비정형 알루미늄 패널 외피를 거대한 프로젝션 표면으로 활용해 건축 형상과 영상의 상호작용을 극대화한다.</x:v>
      </x:c>
      <x:c r="I7" s="13" t="str">
        <x:v>서울에서 건축과 미디어아트의 결합을 가장 직관적으로 보여주는 랜드마크.</x:v>
      </x:c>
      <x:c r="J7" s="13" t="str">
        <x:v>서울특별시 중구 을지로 281</x:v>
      </x:c>
      <x:c r="K7" s="13" t="str">
        <x:v>중구</x:v>
      </x:c>
      <x:c r="L7" s="13"/>
      <x:c r="M7" s="13"/>
      <x:c r="N7" s="29" t="b">
        <x:v>0</x:v>
      </x:c>
      <x:c r="O7" s="29" t="b">
        <x:v>1</x:v>
      </x:c>
      <x:c r="P7" s="29" t="b">
        <x:v>1</x:v>
      </x:c>
      <x:c r="Q7" s="13" t="str">
        <x:v>seasonal</x:v>
      </x:c>
      <x:c r="R7" s="13" t="str">
        <x:v>event_program</x:v>
      </x:c>
      <x:c r="S7" s="13" t="str">
        <x:v>서울라이트 DDP 2026 가을 종료</x:v>
      </x:c>
      <x:c r="T7" s="13" t="str">
        <x:v>2026-09-03</x:v>
      </x:c>
      <x:c r="U7" s="13" t="str">
        <x:v>2026-09-13</x:v>
      </x:c>
      <x:c r="V7" s="13" t="str">
        <x:v>이벤트별 상이</x:v>
      </x:c>
      <x:c r="W7" s="13" t="str">
        <x:v>야간</x:v>
      </x:c>
      <x:c r="X7" s="13" t="str">
        <x:v>https://ddp.or.kr/</x:v>
      </x:c>
      <x:c r="Y7" s="13" t="str">
        <x:v>https://mediahub.seoul.go.kr/archives/2019251</x:v>
      </x:c>
      <x:c r="Z7" s="13" t="str">
        <x:v>서울특별시</x:v>
      </x:c>
      <x:c r="AA7" s="13" t="str">
        <x:v>2026-09-21</x:v>
      </x:c>
      <x:c r="AB7" s="13" t="str">
        <x:v>high</x:v>
      </x:c>
      <x:c r="AC7" s="13" t="str">
        <x:v>A</x:v>
      </x:c>
      <x:c r="AD7" s="13" t="str">
        <x:v>needs_geocoding</x:v>
      </x:c>
    </x:row>
    <x:row r="8">
      <x:c r="A8" s="13" t="str">
        <x:v>SEOUL007</x:v>
      </x:c>
      <x:c r="B8" s="13" t="str">
        <x:v>코엑스 K-POP 스퀘어 WAVE</x:v>
      </x:c>
      <x:c r="C8" s="13" t="str">
        <x:v>COEX K-POP Square WAVE</x:v>
      </x:c>
      <x:c r="D8" s="13" t="str">
        <x:v>Media Facade</x:v>
      </x:c>
      <x:c r="E8" s="13" t="str">
        <x:v>Anamorphic; Media Art</x:v>
      </x:c>
      <x:c r="F8" s="13" t="str">
        <x:v>건물 모서리 LED가 거대한 파도 수조처럼 보이는 아나몰픽 미디어아트.</x:v>
      </x:c>
      <x:c r="G8" s="13" t="str">
        <x:v>코엑스 외벽 대형 LED 스크린에 디스트릭트의 대표작 WAVE 등 대형 미디어 콘텐츠가 송출되는 장소다.</x:v>
      </x:c>
      <x:c r="H8" s="13" t="str">
        <x:v>곡면·코너형 LED의 원근 착시를 활용한 아나몰픽 콘텐츠가 건축 외피를 입체적 가상공간으로 인식하게 한다.</x:v>
      </x:c>
      <x:c r="I8" s="13" t="str">
        <x:v>일반인에게 미디어파사드의 ‘와우 포인트’를 가장 쉽게 전달할 수 있는 사례.</x:v>
      </x:c>
      <x:c r="J8" s="13" t="str">
        <x:v>서울특별시 강남구 영동대로 513 코엑스</x:v>
      </x:c>
      <x:c r="K8" s="13" t="str">
        <x:v>강남구</x:v>
      </x:c>
      <x:c r="L8" s="13"/>
      <x:c r="M8" s="13"/>
      <x:c r="N8" s="29" t="b">
        <x:v>0</x:v>
      </x:c>
      <x:c r="O8" s="29" t="b">
        <x:v>1</x:v>
      </x:c>
      <x:c r="P8" s="29" t="b">
        <x:v>1</x:v>
      </x:c>
      <x:c r="Q8" s="13" t="str">
        <x:v>active</x:v>
      </x:c>
      <x:c r="R8" s="13" t="str">
        <x:v>continuous_display</x:v>
      </x:c>
      <x:c r="S8" s="13" t="str">
        <x:v>WAVE 및 순환 콘텐츠</x:v>
      </x:c>
      <x:c r="T8" s="13" t="str"/>
      <x:c r="U8" s="13" t="str"/>
      <x:c r="V8" s="13" t="str">
        <x:v>송출 편성 변동</x:v>
      </x:c>
      <x:c r="W8" s="13" t="str">
        <x:v>저녁</x:v>
      </x:c>
      <x:c r="X8" s="13" t="str">
        <x:v>https://english.visitseoul.net/area/COEXK-POPSquare/ENPnj8f9x</x:v>
      </x:c>
      <x:c r="Y8" s="13" t="str">
        <x:v>https://english.visitseoul.net/area/COEXK-POPSquare/ENPnj8f9x</x:v>
      </x:c>
      <x:c r="Z8" s="13" t="str">
        <x:v>서울관광재단</x:v>
      </x:c>
      <x:c r="AA8" s="13" t="str">
        <x:v>2026-09-21</x:v>
      </x:c>
      <x:c r="AB8" s="13" t="str">
        <x:v>high</x:v>
      </x:c>
      <x:c r="AC8" s="13" t="str">
        <x:v>A</x:v>
      </x:c>
      <x:c r="AD8" s="13" t="str">
        <x:v>needs_geocoding</x:v>
      </x:c>
    </x:row>
    <x:row r="9">
      <x:c r="A9" s="13" t="str">
        <x:v>SEOUL008</x:v>
      </x:c>
      <x:c r="B9" s="13" t="str">
        <x:v>신세계스퀘어</x:v>
      </x:c>
      <x:c r="C9" s="13" t="str">
        <x:v>Shinsegae Square</x:v>
      </x:c>
      <x:c r="D9" s="13" t="str">
        <x:v>Media Facade</x:v>
      </x:c>
      <x:c r="E9" s="13" t="str">
        <x:v>Anamorphic; Light Art</x:v>
      </x:c>
      <x:c r="F9" s="13" t="str">
        <x:v>명동 신세계 본점 외벽의 초대형 디지털 사이니지.</x:v>
      </x:c>
      <x:c r="G9" s="13" t="str">
        <x:v>명동스퀘어의 핵심 미디어파사드로 광고뿐 아니라 시즌 캠페인과 미디어아트 콘텐츠를 선보인다.</x:v>
      </x:c>
      <x:c r="H9" s="13" t="str">
        <x:v>역사적 백화점 건축과 초대형 LED를 결합해 상업 경관을 문화 콘텐츠 플랫폼으로 확장한 사례다.</x:v>
      </x:c>
      <x:c r="I9" s="13" t="str">
        <x:v>명동 야간관광과 미디어아트를 연결하기 좋은 대표 대중형 장소.</x:v>
      </x:c>
      <x:c r="J9" s="13" t="str">
        <x:v>서울특별시 중구 소공로 63 신세계백화점 본점</x:v>
      </x:c>
      <x:c r="K9" s="13" t="str">
        <x:v>중구</x:v>
      </x:c>
      <x:c r="L9" s="13"/>
      <x:c r="M9" s="13"/>
      <x:c r="N9" s="29" t="b">
        <x:v>0</x:v>
      </x:c>
      <x:c r="O9" s="29" t="b">
        <x:v>1</x:v>
      </x:c>
      <x:c r="P9" s="29" t="b">
        <x:v>1</x:v>
      </x:c>
      <x:c r="Q9" s="13" t="str">
        <x:v>active</x:v>
      </x:c>
      <x:c r="R9" s="13" t="str">
        <x:v>continuous_display</x:v>
      </x:c>
      <x:c r="S9" s="13" t="str">
        <x:v>시즌·브랜드·미디어아트 순환 콘텐츠</x:v>
      </x:c>
      <x:c r="T9" s="13" t="str"/>
      <x:c r="U9" s="13" t="str"/>
      <x:c r="V9" s="13" t="str">
        <x:v>편성 변동</x:v>
      </x:c>
      <x:c r="W9" s="13" t="str">
        <x:v>해질 무렵 이후</x:v>
      </x:c>
      <x:c r="X9" s="13" t="str">
        <x:v>https://www.shinsegae.com/</x:v>
      </x:c>
      <x:c r="Y9" s="13" t="str">
        <x:v>https://www.shinsegaegroupnewsroom.com/shinsegae-square-seoul-new-landmark/</x:v>
      </x:c>
      <x:c r="Z9" s="13" t="str">
        <x:v>신세계그룹</x:v>
      </x:c>
      <x:c r="AA9" s="13" t="str">
        <x:v>2026-09-21</x:v>
      </x:c>
      <x:c r="AB9" s="13" t="str">
        <x:v>high</x:v>
      </x:c>
      <x:c r="AC9" s="13" t="str">
        <x:v>A</x:v>
      </x:c>
      <x:c r="AD9" s="13" t="str">
        <x:v>needs_geocoding</x:v>
      </x:c>
    </x:row>
    <x:row r="10">
      <x:c r="A10" s="13" t="str">
        <x:v>SEOUL009</x:v>
      </x:c>
      <x:c r="B10" s="13" t="str">
        <x:v>갤러리아 명품관 WEST 미디어파사드</x:v>
      </x:c>
      <x:c r="C10" s="13" t="str">
        <x:v>Galleria Luxury Hall WEST Media Facade</x:v>
      </x:c>
      <x:c r="D10" s="13" t="str">
        <x:v>Media Facade</x:v>
      </x:c>
      <x:c r="E10" s="13" t="str">
        <x:v>Architecture; Light Art</x:v>
      </x:c>
      <x:c r="F10" s="13" t="str">
        <x:v>유리 디스크와 LED가 건물 전체를 움직이는 빛의 표면으로 만드는 랜드마크.</x:v>
      </x:c>
      <x:c r="G10" s="13" t="str">
        <x:v>압구정 갤러리아 WEST 외관은 벤 반 버클의 디자인과 LED 연출로 대표적인 미디어파사드로 자리 잡았다.</x:v>
      </x:c>
      <x:c r="H10" s="13" t="str">
        <x:v>건축 마감 요소 자체가 픽셀처럼 작동하는 초기 한국 미디어파사드의 대표적 상설 사례다.</x:v>
      </x:c>
      <x:c r="I10" s="13" t="str">
        <x:v>미디어파사드가 단순 스크린이 아니라 건축 재료가 될 수 있음을 보여준다.</x:v>
      </x:c>
      <x:c r="J10" s="13" t="str">
        <x:v>서울특별시 강남구 압구정로 407</x:v>
      </x:c>
      <x:c r="K10" s="13" t="str">
        <x:v>강남구</x:v>
      </x:c>
      <x:c r="L10" s="13"/>
      <x:c r="M10" s="13"/>
      <x:c r="N10" s="29" t="b">
        <x:v>0</x:v>
      </x:c>
      <x:c r="O10" s="29" t="b">
        <x:v>1</x:v>
      </x:c>
      <x:c r="P10" s="29" t="b">
        <x:v>1</x:v>
      </x:c>
      <x:c r="Q10" s="13" t="str">
        <x:v>active</x:v>
      </x:c>
      <x:c r="R10" s="13" t="str">
        <x:v>architectural_lighting</x:v>
      </x:c>
      <x:c r="S10" s="13" t="str">
        <x:v>상설 외관 LED 영상</x:v>
      </x:c>
      <x:c r="T10" s="13" t="str"/>
      <x:c r="U10" s="13" t="str"/>
      <x:c r="V10" s="13" t="str">
        <x:v>야간 중심</x:v>
      </x:c>
      <x:c r="W10" s="13" t="str">
        <x:v>해질 무렵 이후</x:v>
      </x:c>
      <x:c r="X10" s="13" t="str">
        <x:v>https://dept.galleria.co.kr/store-info/luxuryhall/intro</x:v>
      </x:c>
      <x:c r="Y10" s="13" t="str">
        <x:v>https://dept.galleria.co.kr/store-info/luxuryhall/intro</x:v>
      </x:c>
      <x:c r="Z10" s="13" t="str">
        <x:v>갤러리아</x:v>
      </x:c>
      <x:c r="AA10" s="13" t="str">
        <x:v>2026-09-21</x:v>
      </x:c>
      <x:c r="AB10" s="13" t="str">
        <x:v>high</x:v>
      </x:c>
      <x:c r="AC10" s="13" t="str">
        <x:v>A</x:v>
      </x:c>
      <x:c r="AD10" s="13" t="str">
        <x:v>needs_geocoding</x:v>
      </x:c>
    </x:row>
    <x:row r="11">
      <x:c r="A11" s="13" t="str">
        <x:v>SEOUL010</x:v>
      </x:c>
      <x:c r="B11" s="13" t="str">
        <x:v>서울스퀘어 미디어 캔버스</x:v>
      </x:c>
      <x:c r="C11" s="13" t="str">
        <x:v>Seoul Square Media Canvas</x:v>
      </x:c>
      <x:c r="D11" s="13" t="str">
        <x:v>Media Facade</x:v>
      </x:c>
      <x:c r="E11" s="13" t="str">
        <x:v>Media Art; Architecture</x:v>
      </x:c>
      <x:c r="F11" s="13" t="str">
        <x:v>서울역 맞은편 거대한 건축 입면에 미디어아트를 펼치는 초기 대표 사례.</x:v>
      </x:c>
      <x:c r="G11" s="13" t="str">
        <x:v>서울스퀘어 외벽 LED 미디어 캔버스는 건축 리모델링과 함께 도입된 대규모 미디어파사드다.</x:v>
      </x:c>
      <x:c r="H11" s="13" t="str">
        <x:v>반복 창호 입면에 LED를 통합해 건물 자체를 저해상도 거대 화면으로 전환한 사례로 한국 미디어파사드 연구에서 자주 다뤄진다.</x:v>
      </x:c>
      <x:c r="I11" s="13" t="str">
        <x:v>서울 미디어파사드 역사를 설명하기 좋은 상징적 사례.</x:v>
      </x:c>
      <x:c r="J11" s="13" t="str">
        <x:v>서울특별시 중구 한강대로 416</x:v>
      </x:c>
      <x:c r="K11" s="13" t="str">
        <x:v>중구</x:v>
      </x:c>
      <x:c r="L11" s="13"/>
      <x:c r="M11" s="13"/>
      <x:c r="N11" s="29" t="b">
        <x:v>0</x:v>
      </x:c>
      <x:c r="O11" s="29" t="b">
        <x:v>1</x:v>
      </x:c>
      <x:c r="P11" s="29" t="b">
        <x:v>1</x:v>
      </x:c>
      <x:c r="Q11" s="13" t="str">
        <x:v>verify_schedule</x:v>
      </x:c>
      <x:c r="R11" s="13" t="str">
        <x:v>continuous_or_event</x:v>
      </x:c>
      <x:c r="S11" s="13" t="str">
        <x:v>미디어아트 송출 편성 확인 필요</x:v>
      </x:c>
      <x:c r="T11" s="13" t="str"/>
      <x:c r="U11" s="13" t="str"/>
      <x:c r="V11" s="13" t="str">
        <x:v>현장/운영사 확인 필요</x:v>
      </x:c>
      <x:c r="W11" s="13" t="str">
        <x:v>야간</x:v>
      </x:c>
      <x:c r="X11" s="13" t="str">
        <x:v>https://junglim.com/en/seoul-square/</x:v>
      </x:c>
      <x:c r="Y11" s="13" t="str">
        <x:v>https://junglim.com/en/seoul-square/</x:v>
      </x:c>
      <x:c r="Z11" s="13" t="str">
        <x:v>정림건축</x:v>
      </x:c>
      <x:c r="AA11" s="13" t="str">
        <x:v>2026-09-21</x:v>
      </x:c>
      <x:c r="AB11" s="13" t="str">
        <x:v>medium</x:v>
      </x:c>
      <x:c r="AC11" s="13" t="str">
        <x:v>A</x:v>
      </x:c>
      <x:c r="AD11" s="13" t="str">
        <x:v>needs_geocoding</x:v>
      </x:c>
    </x:row>
    <x:row r="12">
      <x:c r="A12" s="13" t="str">
        <x:v>SEOUL011</x:v>
      </x:c>
      <x:c r="B12" s="13" t="str">
        <x:v>KT스퀘어 옥외전광판</x:v>
      </x:c>
      <x:c r="C12" s="13" t="str">
        <x:v>KT Square Digital Display</x:v>
      </x:c>
      <x:c r="D12" s="13" t="str">
        <x:v>Media Facade</x:v>
      </x:c>
      <x:c r="E12" s="13" t="str">
        <x:v>Media Art; Digital Signage</x:v>
      </x:c>
      <x:c r="F12" s="13" t="str">
        <x:v>광화문 자유표시구역의 대형 민간 디지털 전광판.</x:v>
      </x:c>
      <x:c r="G12" s="13" t="str">
        <x:v>KT 사옥의 대형 옥외전광판으로 광고와 특별 미디어아트 콘텐츠가 송출되는 플랫폼이다.</x:v>
      </x:c>
      <x:c r="H12" s="13" t="str">
        <x:v>상업용 DOOH가 공공 미디어아트 특별전과 연결될 수 있다는 점에서 도시 미디어 생태계 연구에 유용하다.</x:v>
      </x:c>
      <x:c r="I12" s="13" t="str">
        <x:v>광화문 일대 민간 미디어스크린 네트워크를 보여주는 사례.</x:v>
      </x:c>
      <x:c r="J12" s="13" t="str">
        <x:v>KT 광화문 사옥, 서울특별시 종로구 종로 일대</x:v>
      </x:c>
      <x:c r="K12" s="13" t="str">
        <x:v>종로구</x:v>
      </x:c>
      <x:c r="L12" s="13"/>
      <x:c r="M12" s="13"/>
      <x:c r="N12" s="29" t="b">
        <x:v>0</x:v>
      </x:c>
      <x:c r="O12" s="29" t="b">
        <x:v>1</x:v>
      </x:c>
      <x:c r="P12" s="29" t="b">
        <x:v>1</x:v>
      </x:c>
      <x:c r="Q12" s="13" t="str">
        <x:v>active_display</x:v>
      </x:c>
      <x:c r="R12" s="13" t="str">
        <x:v>event_art</x:v>
      </x:c>
      <x:c r="S12" s="13" t="str">
        <x:v>2026 미디어아트 서울×키아프 특별전 종료</x:v>
      </x:c>
      <x:c r="T12" s="13" t="str">
        <x:v>2026-09-01</x:v>
      </x:c>
      <x:c r="U12" s="13" t="str">
        <x:v>2026-09-19</x:v>
      </x:c>
      <x:c r="V12" s="13" t="str">
        <x:v>상시 전광판/예술편성 비정기</x:v>
      </x:c>
      <x:c r="W12" s="13" t="str">
        <x:v>저녁</x:v>
      </x:c>
      <x:c r="X12" s="13" t="str">
        <x:v>https://www.seoul.go.kr/news/news_report.do?nttNo=464925</x:v>
      </x:c>
      <x:c r="Y12" s="13" t="str">
        <x:v>https://www.seoul.go.kr/news/news_report.do?nttNo=464925</x:v>
      </x:c>
      <x:c r="Z12" s="13" t="str">
        <x:v>서울특별시</x:v>
      </x:c>
      <x:c r="AA12" s="13" t="str">
        <x:v>2026-09-21</x:v>
      </x:c>
      <x:c r="AB12" s="13" t="str">
        <x:v>high</x:v>
      </x:c>
      <x:c r="AC12" s="13" t="str">
        <x:v>B</x:v>
      </x:c>
      <x:c r="AD12" s="13" t="str">
        <x:v>needs_geocoding</x:v>
      </x:c>
    </x:row>
    <x:row r="13">
      <x:c r="A13" s="13" t="str">
        <x:v>SEOUL012</x:v>
      </x:c>
      <x:c r="B13" s="13" t="str">
        <x:v>K-비전(코리아나호텔)</x:v>
      </x:c>
      <x:c r="C13" s="13" t="str">
        <x:v>K-Vision at Koreana Hotel</x:v>
      </x:c>
      <x:c r="D13" s="13" t="str">
        <x:v>Media Facade</x:v>
      </x:c>
      <x:c r="E13" s="13" t="str">
        <x:v>Media Art; Digital Signage</x:v>
      </x:c>
      <x:c r="F13" s="13" t="str">
        <x:v>광화문 대로변에서 미디어아트 특별전에도 활용되는 대형 스크린.</x:v>
      </x:c>
      <x:c r="G13" s="13" t="str">
        <x:v>코리아나호텔 외벽의 민간 옥외전광판으로 서울시 협력 미디어아트 특별전에도 참여했다.</x:v>
      </x:c>
      <x:c r="H13" s="13" t="str">
        <x:v>광화문 자유표시구역의 민간 디지털 사이니지를 문화 콘텐츠 플랫폼으로 활용하는 사례다.</x:v>
      </x:c>
      <x:c r="I13" s="13" t="str">
        <x:v>도심의 상업 스크린을 예술 네트워크로 전환하는 실험을 보여준다.</x:v>
      </x:c>
      <x:c r="J13" s="13" t="str">
        <x:v>서울특별시 중구 세종대로 135 코리아나호텔</x:v>
      </x:c>
      <x:c r="K13" s="13" t="str">
        <x:v>중구</x:v>
      </x:c>
      <x:c r="L13" s="13"/>
      <x:c r="M13" s="13"/>
      <x:c r="N13" s="29" t="b">
        <x:v>0</x:v>
      </x:c>
      <x:c r="O13" s="29" t="b">
        <x:v>1</x:v>
      </x:c>
      <x:c r="P13" s="29" t="b">
        <x:v>1</x:v>
      </x:c>
      <x:c r="Q13" s="13" t="str">
        <x:v>active_display</x:v>
      </x:c>
      <x:c r="R13" s="13" t="str">
        <x:v>event_art</x:v>
      </x:c>
      <x:c r="S13" s="13" t="str">
        <x:v>2026 미디어아트 서울×키아프 특별전 종료</x:v>
      </x:c>
      <x:c r="T13" s="13" t="str">
        <x:v>2026-09-01</x:v>
      </x:c>
      <x:c r="U13" s="13" t="str">
        <x:v>2026-09-19</x:v>
      </x:c>
      <x:c r="V13" s="13" t="str">
        <x:v>예술편성 비정기</x:v>
      </x:c>
      <x:c r="W13" s="13" t="str">
        <x:v>저녁</x:v>
      </x:c>
      <x:c r="X13" s="13" t="str">
        <x:v>https://www.seoul.go.kr/news/news_report.do?nttNo=464925</x:v>
      </x:c>
      <x:c r="Y13" s="13" t="str">
        <x:v>https://www.seoul.go.kr/news/news_report.do?nttNo=464925</x:v>
      </x:c>
      <x:c r="Z13" s="13" t="str">
        <x:v>서울특별시</x:v>
      </x:c>
      <x:c r="AA13" s="13" t="str">
        <x:v>2026-09-21</x:v>
      </x:c>
      <x:c r="AB13" s="13" t="str">
        <x:v>high</x:v>
      </x:c>
      <x:c r="AC13" s="13" t="str">
        <x:v>B</x:v>
      </x:c>
      <x:c r="AD13" s="13" t="str">
        <x:v>needs_geocoding</x:v>
      </x:c>
    </x:row>
    <x:row r="14">
      <x:c r="A14" s="13" t="str">
        <x:v>SEOUL013</x:v>
      </x:c>
      <x:c r="B14" s="13" t="str">
        <x:v>루미 미디어(세광빌딩)</x:v>
      </x:c>
      <x:c r="C14" s="13" t="str">
        <x:v>LUMI Media at Sekwang Building</x:v>
      </x:c>
      <x:c r="D14" s="13" t="str">
        <x:v>Media Facade</x:v>
      </x:c>
      <x:c r="E14" s="13" t="str">
        <x:v>Media Art; Digital Signage</x:v>
      </x:c>
      <x:c r="F14" s="13" t="str">
        <x:v>광화문 자유표시구역의 민간 대형 미디어스크린.</x:v>
      </x:c>
      <x:c r="G14" s="13" t="str">
        <x:v>세광빌딩의 옥외전광판으로 2026 서울시×키아프 미디어아트 특별전 전시장에 포함됐다.</x:v>
      </x:c>
      <x:c r="H14" s="13" t="str">
        <x:v>도시 중심부의 DOOH 자원을 다지점 공공 미디어아트 전시에 연결한 사례다.</x:v>
      </x:c>
      <x:c r="I14" s="13" t="str">
        <x:v>광화문 미디어 스크린 군집을 지도화할 때 중요한 노드.</x:v>
      </x:c>
      <x:c r="J14" s="13" t="str">
        <x:v>세광빌딩, 서울특별시 광화문 일대</x:v>
      </x:c>
      <x:c r="K14" s="13" t="str">
        <x:v>종로구/중구</x:v>
      </x:c>
      <x:c r="L14" s="13"/>
      <x:c r="M14" s="13"/>
      <x:c r="N14" s="29" t="b">
        <x:v>0</x:v>
      </x:c>
      <x:c r="O14" s="29" t="b">
        <x:v>1</x:v>
      </x:c>
      <x:c r="P14" s="29" t="b">
        <x:v>1</x:v>
      </x:c>
      <x:c r="Q14" s="13" t="str">
        <x:v>active_display</x:v>
      </x:c>
      <x:c r="R14" s="13" t="str">
        <x:v>event_art</x:v>
      </x:c>
      <x:c r="S14" s="13" t="str">
        <x:v>2026 미디어아트 서울×키아프 특별전 종료</x:v>
      </x:c>
      <x:c r="T14" s="13" t="str">
        <x:v>2026-09-01</x:v>
      </x:c>
      <x:c r="U14" s="13" t="str">
        <x:v>2026-09-19</x:v>
      </x:c>
      <x:c r="V14" s="13" t="str">
        <x:v>예술편성 비정기</x:v>
      </x:c>
      <x:c r="W14" s="13" t="str">
        <x:v>저녁</x:v>
      </x:c>
      <x:c r="X14" s="13" t="str">
        <x:v>https://www.seoul.go.kr/news/news_report.do?nttNo=464925</x:v>
      </x:c>
      <x:c r="Y14" s="13" t="str">
        <x:v>https://www.seoul.go.kr/news/news_report.do?nttNo=464925</x:v>
      </x:c>
      <x:c r="Z14" s="13" t="str">
        <x:v>서울특별시</x:v>
      </x:c>
      <x:c r="AA14" s="13" t="str">
        <x:v>2026-09-21</x:v>
      </x:c>
      <x:c r="AB14" s="13" t="str">
        <x:v>high</x:v>
      </x:c>
      <x:c r="AC14" s="13" t="str">
        <x:v>B</x:v>
      </x:c>
      <x:c r="AD14" s="13" t="str">
        <x:v>needs_geocoding</x:v>
      </x:c>
    </x:row>
    <x:row r="15">
      <x:c r="A15" s="13" t="str">
        <x:v>SEOUL014</x:v>
      </x:c>
      <x:c r="B15" s="13" t="str">
        <x:v>LUUX(동아일보)</x:v>
      </x:c>
      <x:c r="C15" s="13" t="str">
        <x:v>LUUX at Dong-A Ilbo</x:v>
      </x:c>
      <x:c r="D15" s="13" t="str">
        <x:v>Media Facade</x:v>
      </x:c>
      <x:c r="E15" s="13" t="str">
        <x:v>Media Art; Digital Signage</x:v>
      </x:c>
      <x:c r="F15" s="13" t="str">
        <x:v>광화문·청계천 축에서 미디어아트 특별전에 활용되는 민간 전광판.</x:v>
      </x:c>
      <x:c r="G15" s="13" t="str">
        <x:v>동아일보 건물의 대형 미디어스크린으로 2026 서울시×키아프 미디어아트 특별전 전시장에 포함됐다.</x:v>
      </x:c>
      <x:c r="H15" s="13" t="str">
        <x:v>언론사 건축 외벽의 광고 미디어가 도시 예술 이벤트와 결합되는 사례다.</x:v>
      </x:c>
      <x:c r="I15" s="13" t="str">
        <x:v>청계천-광화문 큐레이션 코스에 연결하기 좋은 도심 미디어 노드.</x:v>
      </x:c>
      <x:c r="J15" s="13" t="str">
        <x:v>동아일보 사옥, 서울특별시 종로구 청계천로 일대</x:v>
      </x:c>
      <x:c r="K15" s="13" t="str">
        <x:v>종로구</x:v>
      </x:c>
      <x:c r="L15" s="13"/>
      <x:c r="M15" s="13"/>
      <x:c r="N15" s="29" t="b">
        <x:v>0</x:v>
      </x:c>
      <x:c r="O15" s="29" t="b">
        <x:v>1</x:v>
      </x:c>
      <x:c r="P15" s="29" t="b">
        <x:v>1</x:v>
      </x:c>
      <x:c r="Q15" s="13" t="str">
        <x:v>active_display</x:v>
      </x:c>
      <x:c r="R15" s="13" t="str">
        <x:v>event_art</x:v>
      </x:c>
      <x:c r="S15" s="13" t="str">
        <x:v>2026 미디어아트 서울×키아프 특별전 종료</x:v>
      </x:c>
      <x:c r="T15" s="13" t="str">
        <x:v>2026-09-01</x:v>
      </x:c>
      <x:c r="U15" s="13" t="str">
        <x:v>2026-09-19</x:v>
      </x:c>
      <x:c r="V15" s="13" t="str">
        <x:v>예술편성 비정기</x:v>
      </x:c>
      <x:c r="W15" s="13" t="str">
        <x:v>저녁</x:v>
      </x:c>
      <x:c r="X15" s="13" t="str">
        <x:v>https://www.seoul.go.kr/news/news_report.do?nttNo=464925</x:v>
      </x:c>
      <x:c r="Y15" s="13" t="str">
        <x:v>https://www.seoul.go.kr/news/news_report.do?nttNo=464925</x:v>
      </x:c>
      <x:c r="Z15" s="13" t="str">
        <x:v>서울특별시</x:v>
      </x:c>
      <x:c r="AA15" s="13" t="str">
        <x:v>2026-09-21</x:v>
      </x:c>
      <x:c r="AB15" s="13" t="str">
        <x:v>high</x:v>
      </x:c>
      <x:c r="AC15" s="13" t="str">
        <x:v>B</x:v>
      </x:c>
      <x:c r="AD15" s="13" t="str">
        <x:v>needs_geocoding</x:v>
      </x:c>
    </x:row>
    <x:row r="16">
      <x:c r="A16" s="13" t="str">
        <x:v>SEOUL015</x:v>
      </x:c>
      <x:c r="B16" s="13" t="str">
        <x:v>일민미술관 옥외전광판</x:v>
      </x:c>
      <x:c r="C16" s="13" t="str">
        <x:v>Ilmin Museum Outdoor Media Display</x:v>
      </x:c>
      <x:c r="D16" s="13" t="str">
        <x:v>Media Facade</x:v>
      </x:c>
      <x:c r="E16" s="13" t="str">
        <x:v>Media Art; Museum</x:v>
      </x:c>
      <x:c r="F16" s="13" t="str">
        <x:v>미술관 건물과 광화문 도시 스크린이 만나는 지점.</x:v>
      </x:c>
      <x:c r="G16" s="13" t="str">
        <x:v>일민미술관의 옥외 미디어는 서울시 협력 미디어아트 특별전의 민간 전시장으로 활용됐다.</x:v>
      </x:c>
      <x:c r="H16" s="13" t="str">
        <x:v>미술관 프로그램과 도시 옥외미디어가 물리적으로 연결되어 미술관 경계를 거리로 확장할 가능성이 크다.</x:v>
      </x:c>
      <x:c r="I16" s="13" t="str">
        <x:v>전시기관과 도시 미디어가 결합되는 큐레이션형 사례.</x:v>
      </x:c>
      <x:c r="J16" s="13" t="str">
        <x:v>서울특별시 종로구 세종대로 152 일민미술관</x:v>
      </x:c>
      <x:c r="K16" s="13" t="str">
        <x:v>종로구</x:v>
      </x:c>
      <x:c r="L16" s="13"/>
      <x:c r="M16" s="13"/>
      <x:c r="N16" s="29" t="b">
        <x:v>0</x:v>
      </x:c>
      <x:c r="O16" s="29" t="b">
        <x:v>1</x:v>
      </x:c>
      <x:c r="P16" s="29" t="b">
        <x:v>1</x:v>
      </x:c>
      <x:c r="Q16" s="13" t="str">
        <x:v>active_display</x:v>
      </x:c>
      <x:c r="R16" s="13" t="str">
        <x:v>event_art</x:v>
      </x:c>
      <x:c r="S16" s="13" t="str">
        <x:v>2026 미디어아트 서울×키아프 특별전 종료</x:v>
      </x:c>
      <x:c r="T16" s="13" t="str">
        <x:v>2026-09-01</x:v>
      </x:c>
      <x:c r="U16" s="13" t="str">
        <x:v>2026-09-19</x:v>
      </x:c>
      <x:c r="V16" s="13" t="str">
        <x:v>예술편성 비정기</x:v>
      </x:c>
      <x:c r="W16" s="13" t="str">
        <x:v>저녁</x:v>
      </x:c>
      <x:c r="X16" s="13" t="str">
        <x:v>https://www.seoul.go.kr/news/news_report.do?nttNo=464925</x:v>
      </x:c>
      <x:c r="Y16" s="13" t="str">
        <x:v>https://www.seoul.go.kr/news/news_report.do?nttNo=464925</x:v>
      </x:c>
      <x:c r="Z16" s="13" t="str">
        <x:v>서울특별시</x:v>
      </x:c>
      <x:c r="AA16" s="13" t="str">
        <x:v>2026-09-21</x:v>
      </x:c>
      <x:c r="AB16" s="13" t="str">
        <x:v>high</x:v>
      </x:c>
      <x:c r="AC16" s="13" t="str">
        <x:v>B</x:v>
      </x:c>
      <x:c r="AD16" s="13" t="str">
        <x:v>needs_geocoding</x:v>
      </x:c>
    </x:row>
    <x:row r="17">
      <x:c r="A17" s="13" t="str">
        <x:v>SEOUL016</x:v>
      </x:c>
      <x:c r="B17" s="13" t="str">
        <x:v>서울로봇인공지능과학관 미디어파사드</x:v>
      </x:c>
      <x:c r="C17" s="13" t="str">
        <x:v>Seoul Robot &amp; AI Museum Media Facade</x:v>
      </x:c>
      <x:c r="D17" s="13" t="str">
        <x:v>Media Facade</x:v>
      </x:c>
      <x:c r="E17" s="13" t="str">
        <x:v>Media Art; Architecture; AI</x:v>
      </x:c>
      <x:c r="F17" s="13" t="str">
        <x:v>로봇·AI 과학관 외피에 미디어아트가 더해지는 도봉의 기술문화 랜드마크.</x:v>
      </x:c>
      <x:c r="G17" s="13" t="str">
        <x:v>서울RAIM은 로봇·AI 상설·기획전시와 함께 외부 미디어파사드 프로그램을 운영하는 과학문화 공간이다.</x:v>
      </x:c>
      <x:c r="H17" s="13" t="str">
        <x:v>미래기술을 다루는 프로그램과 비정형 건축 외피, 미디어파사드가 결합해 콘텐츠와 건축 정체성이 일치한다.</x:v>
      </x:c>
      <x:c r="I17" s="13" t="str">
        <x:v>과학관·건축·미디어아트가 한 장소에서 만나는 독특한 사례.</x:v>
      </x:c>
      <x:c r="J17" s="13" t="str">
        <x:v>서울특별시 도봉구 마들로13길 56</x:v>
      </x:c>
      <x:c r="K17" s="13" t="str">
        <x:v>도봉구</x:v>
      </x:c>
      <x:c r="L17" s="13"/>
      <x:c r="M17" s="13"/>
      <x:c r="N17" s="29" t="b">
        <x:v>1</x:v>
      </x:c>
      <x:c r="O17" s="29" t="b">
        <x:v>0</x:v>
      </x:c>
      <x:c r="P17" s="29" t="b">
        <x:v>1</x:v>
      </x:c>
      <x:c r="Q17" s="13" t="str">
        <x:v>active</x:v>
      </x:c>
      <x:c r="R17" s="13" t="str">
        <x:v>museum_plus_facade</x:v>
      </x:c>
      <x:c r="S17" s="13" t="str">
        <x:v>SEOUL RAIM: ROBOT CITY</x:v>
      </x:c>
      <x:c r="T17" s="13" t="str">
        <x:v>2026-08-28</x:v>
      </x:c>
      <x:c r="U17" s="13" t="str">
        <x:v>2026-12-05</x:v>
      </x:c>
      <x:c r="V17" s="13" t="str">
        <x:v>화~일, 외부 파사드 주기 송출</x:v>
      </x:c>
      <x:c r="W17" s="13" t="str">
        <x:v>해질 무렵</x:v>
      </x:c>
      <x:c r="X17" s="13" t="str">
        <x:v>https://science.seoul.go.kr/RAIM/index.do</x:v>
      </x:c>
      <x:c r="Y17" s="13" t="str">
        <x:v>https://science.seoul.go.kr/RAIM/index.do</x:v>
      </x:c>
      <x:c r="Z17" s="13" t="str">
        <x:v>서울특별시</x:v>
      </x:c>
      <x:c r="AA17" s="13" t="str">
        <x:v>2026-09-21</x:v>
      </x:c>
      <x:c r="AB17" s="13" t="str">
        <x:v>high</x:v>
      </x:c>
      <x:c r="AC17" s="13" t="str">
        <x:v>A</x:v>
      </x:c>
      <x:c r="AD17" s="13" t="str">
        <x:v>needs_geocoding</x:v>
      </x:c>
    </x:row>
    <x:row r="18">
      <x:c r="A18" s="13" t="str">
        <x:v>SEOUL017</x:v>
      </x:c>
      <x:c r="B18" s="13" t="str">
        <x:v>마곡 르웨스트 미디어파사드</x:v>
      </x:c>
      <x:c r="C18" s="13" t="str">
        <x:v>Magok LEWEST Media Facade</x:v>
      </x:c>
      <x:c r="D18" s="13" t="str">
        <x:v>Media Facade</x:v>
      </x:c>
      <x:c r="E18" s="13" t="str">
        <x:v>Transparent LED; Immersive</x:v>
      </x:c>
      <x:c r="F18" s="13" t="str">
        <x:v>투명 LED 외피로 건축과 영상이 겹쳐 보이는 마곡의 대형 미디어파사드.</x:v>
      </x:c>
      <x:c r="G18" s="13" t="str">
        <x:v>마곡나루역 인근 복합시설 르웨스트의 외관에 대규모 투명 LED 미디어파사드가 적용됐다.</x:v>
      </x:c>
      <x:c r="H18" s="13" t="str">
        <x:v>건축 외피의 투과성을 유지하면서 대형 영상 콘텐츠를 중첩하는 투명 LED 방식의 최신 사례다.</x:v>
      </x:c>
      <x:c r="I18" s="13" t="str">
        <x:v>일반 LED 스크린과 다른 ‘건물과 영상의 겹침’을 설명하기 좋다.</x:v>
      </x:c>
      <x:c r="J18" s="13" t="str">
        <x:v>마곡 르웨스트, 서울특별시 강서구 마곡나루역 인근</x:v>
      </x:c>
      <x:c r="K18" s="13" t="str">
        <x:v>강서구</x:v>
      </x:c>
      <x:c r="L18" s="13"/>
      <x:c r="M18" s="13"/>
      <x:c r="N18" s="29" t="b">
        <x:v>0</x:v>
      </x:c>
      <x:c r="O18" s="29" t="b">
        <x:v>1</x:v>
      </x:c>
      <x:c r="P18" s="29" t="b">
        <x:v>1</x:v>
      </x:c>
      <x:c r="Q18" s="13" t="str">
        <x:v>active_display</x:v>
      </x:c>
      <x:c r="R18" s="13" t="str">
        <x:v>brand_and_art</x:v>
      </x:c>
      <x:c r="S18" s="13" t="str">
        <x:v>2026 미디어파사드 콘텐츠 사례 확인</x:v>
      </x:c>
      <x:c r="T18" s="13" t="str"/>
      <x:c r="U18" s="13" t="str"/>
      <x:c r="V18" s="13" t="str">
        <x:v>편성 변동</x:v>
      </x:c>
      <x:c r="W18" s="13" t="str">
        <x:v>저녁</x:v>
      </x:c>
      <x:c r="X18" s="13" t="str">
        <x:v>https://www.museaward.com/winner-info.php?id=238243</x:v>
      </x:c>
      <x:c r="Y18" s="13" t="str">
        <x:v>https://www.museaward.com/winner-info.php?id=238243</x:v>
      </x:c>
      <x:c r="Z18" s="13" t="str">
        <x:v>MUSE Design Awards</x:v>
      </x:c>
      <x:c r="AA18" s="13" t="str">
        <x:v>2026-09-21</x:v>
      </x:c>
      <x:c r="AB18" s="13" t="str">
        <x:v>medium</x:v>
      </x:c>
      <x:c r="AC18" s="13" t="str">
        <x:v>B</x:v>
      </x:c>
      <x:c r="AD18" s="13" t="str">
        <x:v>needs_manual_review</x:v>
      </x:c>
    </x:row>
    <x:row r="19">
      <x:c r="A19" s="13" t="str">
        <x:v>SEOUL018</x:v>
      </x:c>
      <x:c r="B19" s="13" t="str">
        <x:v>롯데월드타워 미디어파사드</x:v>
      </x:c>
      <x:c r="C19" s="13" t="str">
        <x:v>Lotte World Tower Media Facade</x:v>
      </x:c>
      <x:c r="D19" s="13" t="str">
        <x:v>Media Facade</x:v>
      </x:c>
      <x:c r="E19" s="13" t="str">
        <x:v>Light Art; Architecture</x:v>
      </x:c>
      <x:c r="F19" s="13" t="str">
        <x:v>서울 스카이라인 전체를 캔버스로 사용하는 초고층 미디어·조명 콘텐츠.</x:v>
      </x:c>
      <x:c r="G19" s="13" t="str">
        <x:v>롯데월드타워는 계절·이벤트·카운트다운 등에 맞춰 건물 전체 규모의 파사드 콘텐츠를 운영한다.</x:v>
      </x:c>
      <x:c r="H19" s="13" t="str">
        <x:v>초고층 수직 입면을 도시 규모의 시각 매체로 활용해 일반 미디어파사드보다 훨씬 넓은 가시권을 만든다.</x:v>
      </x:c>
      <x:c r="I19" s="13" t="str">
        <x:v>‘건물 하나가 도시 전체를 향해 발광하는 미디어’의 대표 사례.</x:v>
      </x:c>
      <x:c r="J19" s="13" t="str">
        <x:v>서울특별시 송파구 올림픽로 300</x:v>
      </x:c>
      <x:c r="K19" s="13" t="str">
        <x:v>송파구</x:v>
      </x:c>
      <x:c r="L19" s="13"/>
      <x:c r="M19" s="13"/>
      <x:c r="N19" s="29" t="b">
        <x:v>0</x:v>
      </x:c>
      <x:c r="O19" s="29" t="b">
        <x:v>1</x:v>
      </x:c>
      <x:c r="P19" s="29" t="b">
        <x:v>1</x:v>
      </x:c>
      <x:c r="Q19" s="13" t="str">
        <x:v>active_event</x:v>
      </x:c>
      <x:c r="R19" s="13" t="str">
        <x:v>seasonal_and_event</x:v>
      </x:c>
      <x:c r="S19" s="13" t="str">
        <x:v>2026 시즌 미디어아트 콘텐츠 운영 사례 확인</x:v>
      </x:c>
      <x:c r="T19" s="13" t="str"/>
      <x:c r="U19" s="13" t="str"/>
      <x:c r="V19" s="13" t="str">
        <x:v>이벤트별 상이</x:v>
      </x:c>
      <x:c r="W19" s="13" t="str">
        <x:v>야간</x:v>
      </x:c>
      <x:c r="X19" s="13" t="str">
        <x:v>https://www.lwt.co.kr/</x:v>
      </x:c>
      <x:c r="Y19" s="13" t="str">
        <x:v>https://cosmic-ray.tv/LOTTE-WORLD-TOWER-Media-Art-Project-2025</x:v>
      </x:c>
      <x:c r="Z19" s="13" t="str">
        <x:v>Cosmic Ray / Lotte project</x:v>
      </x:c>
      <x:c r="AA19" s="13" t="str">
        <x:v>2026-09-21</x:v>
      </x:c>
      <x:c r="AB19" s="13" t="str">
        <x:v>medium</x:v>
      </x:c>
      <x:c r="AC19" s="13" t="str">
        <x:v>A</x:v>
      </x:c>
      <x:c r="AD19" s="13" t="str">
        <x:v>needs_geocoding</x:v>
      </x:c>
    </x:row>
    <x:row r="20">
      <x:c r="A20" s="13" t="str">
        <x:v>SEOUL019</x:v>
      </x:c>
      <x:c r="B20" s="13" t="str">
        <x:v>롯데타운 라이트(영플라자)</x:v>
      </x:c>
      <x:c r="C20" s="13" t="str">
        <x:v>Lotte Town Light</x:v>
      </x:c>
      <x:c r="D20" s="13" t="str">
        <x:v>Media Facade</x:v>
      </x:c>
      <x:c r="E20" s="13" t="str">
        <x:v>Digital Signage; Media Art</x:v>
      </x:c>
      <x:c r="F20" s="13" t="str">
        <x:v>명동에 2026년 12월 공개 예정인 초대형 4K 미디어파사드.</x:v>
      </x:c>
      <x:c r="G20" s="13" t="str">
        <x:v>롯데백화점 본점 영플라자 외관에 가로 77m, 높이 21m 규모로 조성 중인 대형 LED 미디어파사드다.</x:v>
      </x:c>
      <x:c r="H20" s="13" t="str">
        <x:v>명동 미디어 경관의 또 하나의 대형 노드로, 신세계스퀘어와 함께 도시 단위 디지털 미디어 환경 변화를 관찰하기 좋은 사례가 될 예정이다.</x:v>
      </x:c>
      <x:c r="I20" s="13" t="str">
        <x:v>v0.1에서 ‘예정 장소’ 상태를 처리하는 테스트 케이스.</x:v>
      </x:c>
      <x:c r="J20" s="13" t="str">
        <x:v>서울특별시 중구 남대문로 81 롯데백화점 본점 영플라자</x:v>
      </x:c>
      <x:c r="K20" s="13" t="str">
        <x:v>중구</x:v>
      </x:c>
      <x:c r="L20" s="13"/>
      <x:c r="M20" s="13"/>
      <x:c r="N20" s="29" t="b">
        <x:v>0</x:v>
      </x:c>
      <x:c r="O20" s="29" t="b">
        <x:v>1</x:v>
      </x:c>
      <x:c r="P20" s="29" t="b">
        <x:v>1</x:v>
      </x:c>
      <x:c r="Q20" s="13" t="str">
        <x:v>upcoming</x:v>
      </x:c>
      <x:c r="R20" s="13" t="str">
        <x:v>future_launch</x:v>
      </x:c>
      <x:c r="S20" s="13" t="str">
        <x:v>롯데타운 라이트</x:v>
      </x:c>
      <x:c r="T20" s="13" t="str">
        <x:v>2026-12-01</x:v>
      </x:c>
      <x:c r="U20" s="13" t="str"/>
      <x:c r="V20" s="13" t="str">
        <x:v>12월 공개 예정</x:v>
      </x:c>
      <x:c r="W20" s="13" t="str">
        <x:v>오픈 후 야간</x:v>
      </x:c>
      <x:c r="X20" s="13" t="str">
        <x:v>https://www.lotteshopping.com/</x:v>
      </x:c>
      <x:c r="Y20" s="13" t="str">
        <x:v>https://m.go.seoul.co.kr/news/economy/distribution/2026/07/31/20260731031005</x:v>
      </x:c>
      <x:c r="Z20" s="13" t="str">
        <x:v>서울신문</x:v>
      </x:c>
      <x:c r="AA20" s="13" t="str">
        <x:v>2026-09-21</x:v>
      </x:c>
      <x:c r="AB20" s="13" t="str">
        <x:v>high</x:v>
      </x:c>
      <x:c r="AC20" s="13" t="str">
        <x:v>A</x:v>
      </x:c>
      <x:c r="AD20" s="13" t="str">
        <x:v>needs_geocoding</x:v>
      </x:c>
    </x:row>
    <x:row r="21">
      <x:c r="A21" s="13" t="str">
        <x:v>SEOUL020</x:v>
      </x:c>
      <x:c r="B21" s="13" t="str">
        <x:v>하이커 그라운드</x:v>
      </x:c>
      <x:c r="C21" s="13" t="str">
        <x:v>HiKR Ground</x:v>
      </x:c>
      <x:c r="D21" s="13" t="str">
        <x:v>Media Art</x:v>
      </x:c>
      <x:c r="E21" s="13" t="str">
        <x:v>Immersive; Interactive; Media Wall</x:v>
      </x:c>
      <x:c r="F21" s="13" t="str">
        <x:v>32m 미디어월과 K-POP 체험을 무료로 즐기는 도심형 미디어 문화공간.</x:v>
      </x:c>
      <x:c r="G21" s="13" t="str">
        <x:v>한국관광공사 서울센터에 조성된 복합문화공간으로 HiKR Wall, 미디어 타워, 인터랙티브·K-POP 체험 공간을 갖춘다.</x:v>
      </x:c>
      <x:c r="H21" s="13" t="str">
        <x:v>대형 미디어아트 감상과 이용자가 직접 촬영·조작하는 참여형 콘텐츠를 한 건물에서 결합한 대중 친화형 사례다.</x:v>
      </x:c>
      <x:c r="I21" s="13" t="str">
        <x:v>일반인 유입이 강하고 무료이며 ‘오늘 뭐 볼까?’ 기능에 특히 적합.</x:v>
      </x:c>
      <x:c r="J21" s="13" t="str">
        <x:v>서울특별시 중구 청계천로 40</x:v>
      </x:c>
      <x:c r="K21" s="13" t="str">
        <x:v>중구</x:v>
      </x:c>
      <x:c r="L21" s="13"/>
      <x:c r="M21" s="13"/>
      <x:c r="N21" s="29" t="b">
        <x:v>1</x:v>
      </x:c>
      <x:c r="O21" s="29" t="b">
        <x:v>1</x:v>
      </x:c>
      <x:c r="P21" s="29" t="b">
        <x:v>1</x:v>
      </x:c>
      <x:c r="Q21" s="13" t="str">
        <x:v>active</x:v>
      </x:c>
      <x:c r="R21" s="13" t="str">
        <x:v>permanent_experience</x:v>
      </x:c>
      <x:c r="S21" s="13" t="str">
        <x:v>HiKR Wall / HiKR Tower / K-pop Ground</x:v>
      </x:c>
      <x:c r="T21" s="13" t="str"/>
      <x:c r="U21" s="13" t="str"/>
      <x:c r="V21" s="13" t="str">
        <x:v>1F·5F 매일 10:00-20:00, 2F~4F 화~일 10:00-20:00</x:v>
      </x:c>
      <x:c r="W21" s="13" t="str">
        <x:v>낮~저녁</x:v>
      </x:c>
      <x:c r="X21" s="13" t="str">
        <x:v>https://english.visitkorea.or.kr/svc/sp/hikr</x:v>
      </x:c>
      <x:c r="Y21" s="13" t="str">
        <x:v>https://english.visitkorea.or.kr/svc/contents/contentsView.do?vcontsId=31124</x:v>
      </x:c>
      <x:c r="Z21" s="13" t="str">
        <x:v>한국관광공사</x:v>
      </x:c>
      <x:c r="AA21" s="13" t="str">
        <x:v>2026-09-21</x:v>
      </x:c>
      <x:c r="AB21" s="13" t="str">
        <x:v>high</x:v>
      </x:c>
      <x:c r="AC21" s="13" t="str">
        <x:v>A</x:v>
      </x:c>
      <x:c r="AD21" s="13" t="str">
        <x:v>needs_geocoding</x:v>
      </x:c>
    </x:row>
    <x:row r="22">
      <x:c r="A22" s="13" t="str">
        <x:v>SEOUL021</x:v>
      </x:c>
      <x:c r="B22" s="13" t="str">
        <x:v>청계 소울 오션</x:v>
      </x:c>
      <x:c r="C22" s="13" t="str">
        <x:v>Cheonggye Soul Ocean</x:v>
      </x:c>
      <x:c r="D22" s="13" t="str">
        <x:v>Immersive</x:v>
      </x:c>
      <x:c r="E22" s="13" t="str">
        <x:v>Media Art; Projection; Interactive</x:v>
      </x:c>
      <x:c r="F22" s="13" t="str">
        <x:v>청계천 수변에서 물과 영상이 겹쳐지는 야외 몰입형 미디어아트.</x:v>
      </x:c>
      <x:c r="G22" s="13" t="str">
        <x:v>청계천 광교갤러리 일대에서 수중·수변 프로젝션과 인터랙티브 콘텐츠를 선보이는 2026 장기 미디어아트 전시다.</x:v>
      </x:c>
      <x:c r="H22" s="13" t="str">
        <x:v>물이라는 비정형 표면과 도시 하천 공간을 영상 매체로 활용해 ‘스크린 없는 미디어아트’ 경험을 만든다.</x:v>
      </x:c>
      <x:c r="I22" s="13" t="str">
        <x:v>무료·야외·야간이라는 조건이 일반인 큐레이션에 매우 유리.</x:v>
      </x:c>
      <x:c r="J22" s="13" t="str">
        <x:v>서울특별시 중구 남대문로1가 청계천 광교갤러리 일대</x:v>
      </x:c>
      <x:c r="K22" s="13" t="str">
        <x:v>중구</x:v>
      </x:c>
      <x:c r="L22" s="13"/>
      <x:c r="M22" s="13"/>
      <x:c r="N22" s="29" t="b">
        <x:v>0</x:v>
      </x:c>
      <x:c r="O22" s="29" t="b">
        <x:v>1</x:v>
      </x:c>
      <x:c r="P22" s="29" t="b">
        <x:v>0</x:v>
      </x:c>
      <x:c r="Q22" s="13" t="str">
        <x:v>active</x:v>
      </x:c>
      <x:c r="R22" s="13" t="str">
        <x:v>long_term_exhibition</x:v>
      </x:c>
      <x:c r="S22" s="13" t="str">
        <x:v>청계 소울 오션</x:v>
      </x:c>
      <x:c r="T22" s="13" t="str">
        <x:v>2026-05-15</x:v>
      </x:c>
      <x:c r="U22" s="13" t="str">
        <x:v>2026-12-31</x:v>
      </x:c>
      <x:c r="V22" s="13" t="str">
        <x:v>18:00-22:00(계절별 조정)</x:v>
      </x:c>
      <x:c r="W22" s="13" t="str">
        <x:v>19:00 이후</x:v>
      </x:c>
      <x:c r="X22" s="13" t="str">
        <x:v>https://english.visitseoul.net/exhibition/CheonggyeSoulOcean/ENP20kefn</x:v>
      </x:c>
      <x:c r="Y22" s="13" t="str">
        <x:v>https://english.visitseoul.net/exhibition/CheonggyeSoulOcean/ENP20kefn</x:v>
      </x:c>
      <x:c r="Z22" s="13" t="str">
        <x:v>서울관광재단</x:v>
      </x:c>
      <x:c r="AA22" s="13" t="str">
        <x:v>2026-09-21</x:v>
      </x:c>
      <x:c r="AB22" s="13" t="str">
        <x:v>high</x:v>
      </x:c>
      <x:c r="AC22" s="13" t="str">
        <x:v>A</x:v>
      </x:c>
      <x:c r="AD22" s="13" t="str">
        <x:v>needs_geocoding</x:v>
      </x:c>
    </x:row>
    <x:row r="23">
      <x:c r="A23" s="13" t="str">
        <x:v>SEOUL022</x:v>
      </x:c>
      <x:c r="B23" s="13" t="str">
        <x:v>국립중앙박물관 디지털 실감 영상관</x:v>
      </x:c>
      <x:c r="C23" s="13" t="str">
        <x:v>NMK Immersive Digital Gallery</x:v>
      </x:c>
      <x:c r="D23" s="13" t="str">
        <x:v>Immersive</x:v>
      </x:c>
      <x:c r="E23" s="13" t="str">
        <x:v>Media Art; VR; Interactive</x:v>
      </x:c>
      <x:c r="F23" s="13" t="str">
        <x:v>한국 문화유산을 60m 파노라마·VR·고해상도 미디어로 체험하는 상설 공간.</x:v>
      </x:c>
      <x:c r="G23" s="13" t="str">
        <x:v>국립중앙박물관 상설전시관 내 3개 실감 영상관과 디지털 전시물을 운영한다.</x:v>
      </x:c>
      <x:c r="H23" s="13" t="str">
        <x:v>문화유산 원본의 정보를 디지털 영상·VR·인터랙션으로 확장하며 교육과 몰입형 미디어의 결합을 보여준다.</x:v>
      </x:c>
      <x:c r="I23" s="13" t="str">
        <x:v>유료 몰입형 전시와 달리 공공 박물관의 상설 디지털 경험이라는 점이 차별점.</x:v>
      </x:c>
      <x:c r="J23" s="13" t="str">
        <x:v>서울특별시 용산구 서빙고로 137</x:v>
      </x:c>
      <x:c r="K23" s="13" t="str">
        <x:v>용산구</x:v>
      </x:c>
      <x:c r="L23" s="13"/>
      <x:c r="M23" s="13"/>
      <x:c r="N23" s="29" t="b">
        <x:v>1</x:v>
      </x:c>
      <x:c r="O23" s="29" t="b">
        <x:v>1</x:v>
      </x:c>
      <x:c r="P23" s="29" t="b">
        <x:v>1</x:v>
      </x:c>
      <x:c r="Q23" s="13" t="str">
        <x:v>active</x:v>
      </x:c>
      <x:c r="R23" s="13" t="str">
        <x:v>permanent_experience</x:v>
      </x:c>
      <x:c r="S23" s="13" t="str">
        <x:v>디지털 실감 영상관 1·2·3</x:v>
      </x:c>
      <x:c r="T23" s="13" t="str"/>
      <x:c r="U23" s="13" t="str"/>
      <x:c r="V23" s="13" t="str">
        <x:v>09:30~폐관 30분 전(관별 상이)</x:v>
      </x:c>
      <x:c r="W23" s="13" t="str">
        <x:v>낮</x:v>
      </x:c>
      <x:c r="X23" s="13" t="str">
        <x:v>https://www.museum.go.kr/MUSEUM/contents/M0203010000.do</x:v>
      </x:c>
      <x:c r="Y23" s="13" t="str">
        <x:v>https://www.museum.go.kr/ENG/contents/E0203010000.do</x:v>
      </x:c>
      <x:c r="Z23" s="13" t="str">
        <x:v>국립중앙박물관</x:v>
      </x:c>
      <x:c r="AA23" s="13" t="str">
        <x:v>2026-09-21</x:v>
      </x:c>
      <x:c r="AB23" s="13" t="str">
        <x:v>high</x:v>
      </x:c>
      <x:c r="AC23" s="13" t="str">
        <x:v>A</x:v>
      </x:c>
      <x:c r="AD23" s="13" t="str">
        <x:v>needs_geocoding</x:v>
      </x:c>
    </x:row>
    <x:row r="24">
      <x:c r="A24" s="13" t="str">
        <x:v>SEOUL023</x:v>
      </x:c>
      <x:c r="B24" s="13" t="str">
        <x:v>라이트룸 서울</x:v>
      </x:c>
      <x:c r="C24" s="13" t="str">
        <x:v>Lightroom Seoul</x:v>
      </x:c>
      <x:c r="D24" s="13" t="str">
        <x:v>Immersive</x:v>
      </x:c>
      <x:c r="E24" s="13" t="str">
        <x:v>Projection; Sound; Media Art</x:v>
      </x:c>
      <x:c r="F24" s="13" t="str">
        <x:v>거대한 공간 전체를 프로젝션과 사운드로 채우는 몰입형 전시 전용관.</x:v>
      </x:c>
      <x:c r="G24" s="13" t="str">
        <x:v>강동구 고덕동에 위치한 대형 몰입형 아트 전시장으로 첨단 프로젝터와 사운드 시스템을 기반으로 작가 중심 콘텐츠를 운영한다.</x:v>
      </x:c>
      <x:c r="H24" s="13" t="str">
        <x:v>전시실 자체가 하나의 미디어 장치로 설계된 ‘black-box immersive venue’ 유형의 대표적 사례다.</x:v>
      </x:c>
      <x:c r="I24" s="13" t="str">
        <x:v>미디어파사드와 반대되는 실내 몰입형 콘텐츠 카테고리의 기준점.</x:v>
      </x:c>
      <x:c r="J24" s="13" t="str">
        <x:v>서울특별시 강동구 아리수로61길 103</x:v>
      </x:c>
      <x:c r="K24" s="13" t="str">
        <x:v>강동구</x:v>
      </x:c>
      <x:c r="L24" s="13"/>
      <x:c r="M24" s="13"/>
      <x:c r="N24" s="29" t="b">
        <x:v>1</x:v>
      </x:c>
      <x:c r="O24" s="29" t="b">
        <x:v>0</x:v>
      </x:c>
      <x:c r="P24" s="29" t="b">
        <x:v>1</x:v>
      </x:c>
      <x:c r="Q24" s="13" t="str">
        <x:v>active</x:v>
      </x:c>
      <x:c r="R24" s="13" t="str">
        <x:v>ticketed_rotation</x:v>
      </x:c>
      <x:c r="S24" s="13" t="str">
        <x:v>공연형 몰입 전시(현 편성은 예매 페이지 확인)</x:v>
      </x:c>
      <x:c r="T24" s="13" t="str"/>
      <x:c r="U24" s="13" t="str"/>
      <x:c r="V24" s="13" t="str">
        <x:v>평일 18:30/20:00, 주말·공휴일 다회차(변경 가능)</x:v>
      </x:c>
      <x:c r="W24" s="13" t="str">
        <x:v>예약 시간</x:v>
      </x:c>
      <x:c r="X24" s="13" t="str">
        <x:v>https://lightroomseoul.com/en/</x:v>
      </x:c>
      <x:c r="Y24" s="13" t="str">
        <x:v>https://lightroomseoul.com/en/visit</x:v>
      </x:c>
      <x:c r="Z24" s="13" t="str">
        <x:v>Lightroom Seoul</x:v>
      </x:c>
      <x:c r="AA24" s="13" t="str">
        <x:v>2026-09-21</x:v>
      </x:c>
      <x:c r="AB24" s="13" t="str">
        <x:v>high</x:v>
      </x:c>
      <x:c r="AC24" s="13" t="str">
        <x:v>A</x:v>
      </x:c>
      <x:c r="AD24" s="13" t="str">
        <x:v>needs_geocoding</x:v>
      </x:c>
    </x:row>
    <x:row r="25">
      <x:c r="A25" s="13" t="str">
        <x:v>SEOUL024</x:v>
      </x:c>
      <x:c r="B25" s="13" t="str">
        <x:v>서울시립 서서울미술관</x:v>
      </x:c>
      <x:c r="C25" s="13" t="str">
        <x:v>Seo-Seoul Museum of Art</x:v>
      </x:c>
      <x:c r="D25" s="13" t="str">
        <x:v>Media Art</x:v>
      </x:c>
      <x:c r="E25" s="13" t="str">
        <x:v>New Media; Museum; Architecture</x:v>
      </x:c>
      <x:c r="F25" s="13" t="str">
        <x:v>2026년 개관한 서울의 뉴미디어 특화 공공미술관.</x:v>
      </x:c>
      <x:c r="G25" s="13" t="str">
        <x:v>금천구에 개관한 서울시립미술관 분관으로 뉴미디어를 특화 분야로 삼고 미디어랩과 전시실을 운영한다.</x:v>
      </x:c>
      <x:c r="H25" s="13" t="str">
        <x:v>단일 작품이 아니라 기관 정체성 자체가 뉴미디어에 맞춰 설계된 점에서 장기 DB의 핵심 거점이 될 수 있다.</x:v>
      </x:c>
      <x:c r="I25" s="13" t="str">
        <x:v>‘빛의 건축’이 단순 장소 지도에서 전시 데이터 플랫폼으로 확장될 때 핵심 기관.</x:v>
      </x:c>
      <x:c r="J25" s="13" t="str">
        <x:v>서울특별시 금천구 시흥대로79길 65</x:v>
      </x:c>
      <x:c r="K25" s="13" t="str">
        <x:v>금천구</x:v>
      </x:c>
      <x:c r="L25" s="13"/>
      <x:c r="M25" s="13"/>
      <x:c r="N25" s="29" t="b">
        <x:v>1</x:v>
      </x:c>
      <x:c r="O25" s="29" t="b">
        <x:v>1</x:v>
      </x:c>
      <x:c r="P25" s="29" t="b">
        <x:v>1</x:v>
      </x:c>
      <x:c r="Q25" s="13" t="str">
        <x:v>active</x:v>
      </x:c>
      <x:c r="R25" s="13" t="str">
        <x:v>museum_rotation</x:v>
      </x:c>
      <x:c r="S25" s="13" t="str">
        <x:v>김희천: 두더지들</x:v>
      </x:c>
      <x:c r="T25" s="13" t="str">
        <x:v>2026-08-20</x:v>
      </x:c>
      <x:c r="U25" s="13" t="str">
        <x:v>2026-11-08</x:v>
      </x:c>
      <x:c r="V25" s="13" t="str">
        <x:v>화~금 10:00-20:00 / 주말·공휴일 10:00-19:00</x:v>
      </x:c>
      <x:c r="W25" s="13" t="str">
        <x:v>낮~저녁</x:v>
      </x:c>
      <x:c r="X25" s="13" t="str">
        <x:v>https://sema.seoul.go.kr/</x:v>
      </x:c>
      <x:c r="Y25" s="13" t="str">
        <x:v>https://sema.seoul.go.kr/</x:v>
      </x:c>
      <x:c r="Z25" s="13" t="str">
        <x:v>서울시립미술관</x:v>
      </x:c>
      <x:c r="AA25" s="13" t="str">
        <x:v>2026-09-21</x:v>
      </x:c>
      <x:c r="AB25" s="13" t="str">
        <x:v>high</x:v>
      </x:c>
      <x:c r="AC25" s="13" t="str">
        <x:v>A</x:v>
      </x:c>
      <x:c r="AD25" s="13" t="str">
        <x:v>needs_geocoding</x:v>
      </x:c>
    </x:row>
    <x:row r="26">
      <x:c r="A26" s="13" t="str">
        <x:v>SEOUL025</x:v>
      </x:c>
      <x:c r="B26" s="13" t="str">
        <x:v>국립현대미술관 서울</x:v>
      </x:c>
      <x:c r="C26" s="13" t="str">
        <x:v>MMCA Seoul</x:v>
      </x:c>
      <x:c r="D26" s="13" t="str">
        <x:v>Media Art</x:v>
      </x:c>
      <x:c r="E26" s="13" t="str">
        <x:v>Digital Art; Installation; Museum</x:v>
      </x:c>
      <x:c r="F26" s="13" t="str">
        <x:v>첨단 디스플레이와 동시대 미술을 대형 설치로 실험하는 대표 국립미술관.</x:v>
      </x:c>
      <x:c r="G26" s="13" t="str">
        <x:v>서울관 서울박스 등에서 디지털·영상·설치 기반의 전시를 지속적으로 선보인다.</x:v>
      </x:c>
      <x:c r="H26" s="13" t="str">
        <x:v>미디어 기술을 작품의 표현수단으로 사용하는 동시대 미술을 제도권 미술관 맥락에서 볼 수 있다.</x:v>
      </x:c>
      <x:c r="I26" s="13" t="str">
        <x:v>현재 진행 중인 OLED 시리즈 덕분에 v0.1의 ‘지금 볼 수 있는 미디어아트’ 핵심 장소.</x:v>
      </x:c>
      <x:c r="J26" s="13" t="str">
        <x:v>서울특별시 종로구 삼청로 30</x:v>
      </x:c>
      <x:c r="K26" s="13" t="str">
        <x:v>종로구</x:v>
      </x:c>
      <x:c r="L26" s="13"/>
      <x:c r="M26" s="13"/>
      <x:c r="N26" s="29" t="b">
        <x:v>1</x:v>
      </x:c>
      <x:c r="O26" s="29" t="b">
        <x:v>0</x:v>
      </x:c>
      <x:c r="P26" s="29" t="b">
        <x:v>1</x:v>
      </x:c>
      <x:c r="Q26" s="13" t="str">
        <x:v>active</x:v>
      </x:c>
      <x:c r="R26" s="13" t="str">
        <x:v>museum_rotation</x:v>
      </x:c>
      <x:c r="S26" s="13" t="str">
        <x:v>MMCA×LG OLED 시리즈 2026</x:v>
      </x:c>
      <x:c r="T26" s="13" t="str">
        <x:v>2026-07-31</x:v>
      </x:c>
      <x:c r="U26" s="13" t="str">
        <x:v>2026-11-29</x:v>
      </x:c>
      <x:c r="V26" s="13" t="str">
        <x:v>미술관 운영시간 기준</x:v>
      </x:c>
      <x:c r="W26" s="13" t="str">
        <x:v>낮~저녁</x:v>
      </x:c>
      <x:c r="X26" s="13" t="str">
        <x:v>https://www.mmca.go.kr/</x:v>
      </x:c>
      <x:c r="Y26" s="13" t="str">
        <x:v>https://www.mmca.go.kr/exhibitions/exhibitionsDetail.do?exhFlag=2&amp;exhId=202601060002028</x:v>
      </x:c>
      <x:c r="Z26" s="13" t="str">
        <x:v>국립현대미술관</x:v>
      </x:c>
      <x:c r="AA26" s="13" t="str">
        <x:v>2026-09-21</x:v>
      </x:c>
      <x:c r="AB26" s="13" t="str">
        <x:v>high</x:v>
      </x:c>
      <x:c r="AC26" s="13" t="str">
        <x:v>A</x:v>
      </x:c>
      <x:c r="AD26" s="13" t="str">
        <x:v>needs_geocoding</x:v>
      </x:c>
    </x:row>
    <x:row r="27">
      <x:c r="A27" s="13" t="str">
        <x:v>SEOUL026</x:v>
      </x:c>
      <x:c r="B27" s="13" t="str">
        <x:v>아트센터 나비</x:v>
      </x:c>
      <x:c r="C27" s="13" t="str">
        <x:v>Art Center Nabi</x:v>
      </x:c>
      <x:c r="D27" s="13" t="str">
        <x:v>Media Art</x:v>
      </x:c>
      <x:c r="E27" s="13" t="str">
        <x:v>Kinetic; Technology Art; Museum</x:v>
      </x:c>
      <x:c r="F27" s="13" t="str">
        <x:v>한국의 대표적인 미디어아트 전문기관이 2026년 사간동에서 새 출발한 공간.</x:v>
      </x:c>
      <x:c r="G27" s="13" t="str">
        <x:v>예술과 기술의 접점을 다루어온 미디어아트 전문기관으로 2026년 종로구 사간동에 새 공간을 열었다.</x:v>
      </x:c>
      <x:c r="H27" s="13" t="str">
        <x:v>한국 미디어아트 제도사와 동시대 기술예술을 함께 읽을 수 있는 아카이브적 가치가 큰 장소다.</x:v>
      </x:c>
      <x:c r="I27" s="13" t="str">
        <x:v>전문성은 높지만 일반인용 설명을 붙이면 앱의 깊이를 크게 높여주는 장소.</x:v>
      </x:c>
      <x:c r="J27" s="13" t="str">
        <x:v>서울특별시 종로구 사간동(2026 신공간)</x:v>
      </x:c>
      <x:c r="K27" s="13" t="str">
        <x:v>종로구</x:v>
      </x:c>
      <x:c r="L27" s="13"/>
      <x:c r="M27" s="13"/>
      <x:c r="N27" s="29" t="b">
        <x:v>1</x:v>
      </x:c>
      <x:c r="O27" s="29" t="b">
        <x:v>0</x:v>
      </x:c>
      <x:c r="P27" s="29" t="b">
        <x:v>1</x:v>
      </x:c>
      <x:c r="Q27" s="13" t="str">
        <x:v>active_rotation</x:v>
      </x:c>
      <x:c r="R27" s="13" t="str">
        <x:v>museum_rotation</x:v>
      </x:c>
      <x:c r="S27" s="13" t="str">
        <x:v>재개관 후 전시 순환(최신 프로그램 확인)</x:v>
      </x:c>
      <x:c r="T27" s="13" t="str"/>
      <x:c r="U27" s="13" t="str"/>
      <x:c r="V27" s="13" t="str">
        <x:v>전시별 상이</x:v>
      </x:c>
      <x:c r="W27" s="13" t="str">
        <x:v>낮</x:v>
      </x:c>
      <x:c r="X27" s="13" t="str">
        <x:v>https://www.nabi.or.kr/</x:v>
      </x:c>
      <x:c r="Y27" s="13" t="str">
        <x:v>https://www.ajupress.com/view/20260602181570896</x:v>
      </x:c>
      <x:c r="Z27" s="13" t="str">
        <x:v>Art Center Nabi / Aju Press</x:v>
      </x:c>
      <x:c r="AA27" s="13" t="str">
        <x:v>2026-09-21</x:v>
      </x:c>
      <x:c r="AB27" s="13" t="str">
        <x:v>medium</x:v>
      </x:c>
      <x:c r="AC27" s="13" t="str">
        <x:v>A</x:v>
      </x:c>
      <x:c r="AD27" s="13" t="str">
        <x:v>needs_manual_review</x:v>
      </x:c>
    </x:row>
    <x:row r="28">
      <x:c r="A28" s="13" t="str">
        <x:v>SEOUL027</x:v>
      </x:c>
      <x:c r="B28" s="13" t="str">
        <x:v>리움미술관</x:v>
      </x:c>
      <x:c r="C28" s="13" t="str">
        <x:v>Leeum Museum of Art</x:v>
      </x:c>
      <x:c r="D28" s="13" t="str">
        <x:v>Media Art</x:v>
      </x:c>
      <x:c r="E28" s="13" t="str">
        <x:v>Architecture; Interactive; Museum</x:v>
      </x:c>
      <x:c r="F28" s="13" t="str">
        <x:v>세계적 건축과 동시대 설치·미디어 전시를 함께 경험하는 미술관.</x:v>
      </x:c>
      <x:c r="G28" s="13" t="str">
        <x:v>삼성문화재단이 운영하는 미술관으로 상설 컬렉션과 동시대 기획전을 운영하며 디지털·설치 작업도 다룬다.</x:v>
      </x:c>
      <x:c r="H28" s="13" t="str">
        <x:v>마리오 보타·장 누벨·렘 콜하스가 설계한 건축 경험과 동시대 미디어 작품을 한 동선에서 연결할 수 있다.</x:v>
      </x:c>
      <x:c r="I28" s="13" t="str">
        <x:v>‘빛의 건축’의 Architecture와 Media Art 범위를 동시에 설명하기 좋은 곳.</x:v>
      </x:c>
      <x:c r="J28" s="13" t="str">
        <x:v>서울특별시 용산구 이태원로55길 60-16</x:v>
      </x:c>
      <x:c r="K28" s="13" t="str">
        <x:v>용산구</x:v>
      </x:c>
      <x:c r="L28" s="13"/>
      <x:c r="M28" s="13"/>
      <x:c r="N28" s="29" t="b">
        <x:v>1</x:v>
      </x:c>
      <x:c r="O28" s="29" t="b">
        <x:v>0</x:v>
      </x:c>
      <x:c r="P28" s="29" t="b">
        <x:v>1</x:v>
      </x:c>
      <x:c r="Q28" s="13" t="str">
        <x:v>active</x:v>
      </x:c>
      <x:c r="R28" s="13" t="str">
        <x:v>museum_rotation</x:v>
      </x:c>
      <x:c r="S28" s="13" t="str">
        <x:v>기획·상설 전시 순환</x:v>
      </x:c>
      <x:c r="T28" s="13" t="str"/>
      <x:c r="U28" s="13" t="str"/>
      <x:c r="V28" s="13" t="str">
        <x:v>화~일 운영, 시간은 공식 사이트 확인</x:v>
      </x:c>
      <x:c r="W28" s="13" t="str">
        <x:v>낮</x:v>
      </x:c>
      <x:c r="X28" s="13" t="str">
        <x:v>https://www.leeumhoam.org/leeum</x:v>
      </x:c>
      <x:c r="Y28" s="13" t="str">
        <x:v>https://www.leeumhoam.org/leeum/info/visit</x:v>
      </x:c>
      <x:c r="Z28" s="13" t="str">
        <x:v>리움미술관</x:v>
      </x:c>
      <x:c r="AA28" s="13" t="str">
        <x:v>2026-09-21</x:v>
      </x:c>
      <x:c r="AB28" s="13" t="str">
        <x:v>high</x:v>
      </x:c>
      <x:c r="AC28" s="13" t="str">
        <x:v>B</x:v>
      </x:c>
      <x:c r="AD28" s="13" t="str">
        <x:v>needs_geocoding</x:v>
      </x:c>
    </x:row>
    <x:row r="29">
      <x:c r="A29" s="13" t="str">
        <x:v>SEOUL028</x:v>
      </x:c>
      <x:c r="B29" s="13" t="str">
        <x:v>디뮤지엄</x:v>
      </x:c>
      <x:c r="C29" s="13" t="str">
        <x:v>D MUSEUM</x:v>
      </x:c>
      <x:c r="D29" s="13" t="str">
        <x:v>Media Art</x:v>
      </x:c>
      <x:c r="E29" s="13" t="str">
        <x:v>Immersive; Contemporary Art</x:v>
      </x:c>
      <x:c r="F29" s="13" t="str">
        <x:v>대중 친화적 시각·공간 전시를 선보이는 성수권 전시공간.</x:v>
      </x:c>
      <x:c r="G29" s="13" t="str">
        <x:v>성수동 서울숲 인근에서 사진·디자인·설치·영상 등 대중성이 높은 기획전을 운영한다.</x:v>
      </x:c>
      <x:c r="H29" s="13" t="str">
        <x:v>미디어아트 전용관은 아니지만 전시 디자인과 공간 연출이 강해 일반 사용자 큐레이션의 확장성이 높다.</x:v>
      </x:c>
      <x:c r="I29" s="13" t="str">
        <x:v>데이트·전시 검색 수요와 전문 콘텐츠 사이를 연결하는 브리지 장소.</x:v>
      </x:c>
      <x:c r="J29" s="13" t="str">
        <x:v>서울특별시 성동구 왕십리로 83-21</x:v>
      </x:c>
      <x:c r="K29" s="13" t="str">
        <x:v>성동구</x:v>
      </x:c>
      <x:c r="L29" s="13"/>
      <x:c r="M29" s="13"/>
      <x:c r="N29" s="29" t="b">
        <x:v>1</x:v>
      </x:c>
      <x:c r="O29" s="29" t="b">
        <x:v>0</x:v>
      </x:c>
      <x:c r="P29" s="29" t="b">
        <x:v>1</x:v>
      </x:c>
      <x:c r="Q29" s="13" t="str">
        <x:v>active_rotation</x:v>
      </x:c>
      <x:c r="R29" s="13" t="str">
        <x:v>museum_rotation</x:v>
      </x:c>
      <x:c r="S29" s="13" t="str">
        <x:v>기획전 순환</x:v>
      </x:c>
      <x:c r="T29" s="13" t="str"/>
      <x:c r="U29" s="13" t="str"/>
      <x:c r="V29" s="13" t="str">
        <x:v>전시별 상이</x:v>
      </x:c>
      <x:c r="W29" s="13" t="str">
        <x:v>낮~저녁</x:v>
      </x:c>
      <x:c r="X29" s="13" t="str">
        <x:v>https://www.daelimmuseum.org/dmuseum</x:v>
      </x:c>
      <x:c r="Y29" s="13" t="str">
        <x:v>https://english.visitseoul.net/</x:v>
      </x:c>
      <x:c r="Z29" s="13" t="str">
        <x:v>D MUSEUM / 서울관광</x:v>
      </x:c>
      <x:c r="AA29" s="13" t="str">
        <x:v>2026-09-21</x:v>
      </x:c>
      <x:c r="AB29" s="13" t="str">
        <x:v>medium</x:v>
      </x:c>
      <x:c r="AC29" s="13" t="str">
        <x:v>B</x:v>
      </x:c>
      <x:c r="AD29" s="13" t="str">
        <x:v>needs_geocoding</x:v>
      </x:c>
    </x:row>
    <x:row r="30">
      <x:c r="A30" s="13" t="str">
        <x:v>SEOUL029</x:v>
      </x:c>
      <x:c r="B30" s="13" t="str">
        <x:v>플랫폼엘 컨템포러리 아트센터</x:v>
      </x:c>
      <x:c r="C30" s="13" t="str">
        <x:v>Platform-L Contemporary Art Center</x:v>
      </x:c>
      <x:c r="D30" s="13" t="str">
        <x:v>Media Art</x:v>
      </x:c>
      <x:c r="E30" s="13" t="str">
        <x:v>Performance; Film; Installation</x:v>
      </x:c>
      <x:c r="F30" s="13" t="str">
        <x:v>전시·퍼포먼스·필름이 교차하는 청담의 실험적 예술공간.</x:v>
      </x:c>
      <x:c r="G30" s="13" t="str">
        <x:v>현대미술, 퍼포먼스, 영상, 사운드 등 다양한 프로그램을 운영하는 복합 예술공간이다.</x:v>
      </x:c>
      <x:c r="H30" s="13" t="str">
        <x:v>블랙박스·야외 중정 등 서로 다른 공간 조건에서 시간 기반 미디어 작품이 전개될 수 있는 구조가 특징이다.</x:v>
      </x:c>
      <x:c r="I30" s="13" t="str">
        <x:v>미디어아트를 ‘스크린’이 아니라 공연·사운드까지 확장해 보여주는 장소.</x:v>
      </x:c>
      <x:c r="J30" s="13" t="str">
        <x:v>서울특별시 강남구 언주로133길 11</x:v>
      </x:c>
      <x:c r="K30" s="13" t="str">
        <x:v>강남구</x:v>
      </x:c>
      <x:c r="L30" s="13"/>
      <x:c r="M30" s="13"/>
      <x:c r="N30" s="29" t="b">
        <x:v>1</x:v>
      </x:c>
      <x:c r="O30" s="29" t="b">
        <x:v>0</x:v>
      </x:c>
      <x:c r="P30" s="29" t="b">
        <x:v>1</x:v>
      </x:c>
      <x:c r="Q30" s="13" t="str">
        <x:v>active_rotation</x:v>
      </x:c>
      <x:c r="R30" s="13" t="str">
        <x:v>art_center_rotation</x:v>
      </x:c>
      <x:c r="S30" s="13" t="str">
        <x:v>프로그램 순환</x:v>
      </x:c>
      <x:c r="T30" s="13" t="str"/>
      <x:c r="U30" s="13" t="str"/>
      <x:c r="V30" s="13" t="str">
        <x:v>프로그램별 상이</x:v>
      </x:c>
      <x:c r="W30" s="13" t="str">
        <x:v>프로그램별</x:v>
      </x:c>
      <x:c r="X30" s="13" t="str">
        <x:v>https://platform-l.org/</x:v>
      </x:c>
      <x:c r="Y30" s="13" t="str">
        <x:v>https://platform-l.org/information/notice</x:v>
      </x:c>
      <x:c r="Z30" s="13" t="str">
        <x:v>Platform-L</x:v>
      </x:c>
      <x:c r="AA30" s="13" t="str">
        <x:v>2026-09-21</x:v>
      </x:c>
      <x:c r="AB30" s="13" t="str">
        <x:v>high</x:v>
      </x:c>
      <x:c r="AC30" s="13" t="str">
        <x:v>B</x:v>
      </x:c>
      <x:c r="AD30" s="13" t="str">
        <x:v>needs_geocoding</x:v>
      </x:c>
    </x:row>
    <x:row r="31">
      <x:c r="A31" s="13" t="str">
        <x:v>SEOUL030</x:v>
      </x:c>
      <x:c r="B31" s="13" t="str">
        <x:v>스페이스K 서울</x:v>
      </x:c>
      <x:c r="C31" s="13" t="str">
        <x:v>Space K Seoul</x:v>
      </x:c>
      <x:c r="D31" s="13" t="str">
        <x:v>Media Art</x:v>
      </x:c>
      <x:c r="E31" s="13" t="str">
        <x:v>Contemporary Art; Architecture</x:v>
      </x:c>
      <x:c r="F31" s="13" t="str">
        <x:v>마곡의 독특한 건축 안에서 동시대 설치·영상 작업을 만나는 미술관.</x:v>
      </x:c>
      <x:c r="G31" s="13" t="str">
        <x:v>코오롱문화재단이 운영하는 현대미술 공간으로 국내외 작가의 기획전을 선보인다.</x:v>
      </x:c>
      <x:c r="H31" s="13" t="str">
        <x:v>빛이 유입되는 전시건축과 동시대 미술이 결합해 작품뿐 아니라 공간 경험 자체를 큐레이션할 수 있다.</x:v>
      </x:c>
      <x:c r="I31" s="13" t="str">
        <x:v>강서권 콘텐츠 밀도를 높여 서울 중심부 편중을 완화하는 후보.</x:v>
      </x:c>
      <x:c r="J31" s="13" t="str">
        <x:v>서울특별시 강서구 마곡중앙8로 32</x:v>
      </x:c>
      <x:c r="K31" s="13" t="str">
        <x:v>강서구</x:v>
      </x:c>
      <x:c r="L31" s="13"/>
      <x:c r="M31" s="13"/>
      <x:c r="N31" s="29" t="b">
        <x:v>1</x:v>
      </x:c>
      <x:c r="O31" s="29" t="b">
        <x:v>0</x:v>
      </x:c>
      <x:c r="P31" s="29" t="b">
        <x:v>1</x:v>
      </x:c>
      <x:c r="Q31" s="13" t="str">
        <x:v>active_rotation</x:v>
      </x:c>
      <x:c r="R31" s="13" t="str">
        <x:v>museum_rotation</x:v>
      </x:c>
      <x:c r="S31" s="13" t="str">
        <x:v>기획전 순환</x:v>
      </x:c>
      <x:c r="T31" s="13" t="str"/>
      <x:c r="U31" s="13" t="str"/>
      <x:c r="V31" s="13" t="str">
        <x:v>전시별 상이</x:v>
      </x:c>
      <x:c r="W31" s="13" t="str">
        <x:v>낮</x:v>
      </x:c>
      <x:c r="X31" s="13" t="str">
        <x:v>https://www.spacek.co.kr/</x:v>
      </x:c>
      <x:c r="Y31" s="13" t="str">
        <x:v>https://english.visitseoul.net/</x:v>
      </x:c>
      <x:c r="Z31" s="13" t="str">
        <x:v>Space K / 서울관광</x:v>
      </x:c>
      <x:c r="AA31" s="13" t="str">
        <x:v>2026-09-21</x:v>
      </x:c>
      <x:c r="AB31" s="13" t="str">
        <x:v>medium</x:v>
      </x:c>
      <x:c r="AC31" s="13" t="str">
        <x:v>B</x:v>
      </x:c>
      <x:c r="AD31" s="13" t="str">
        <x:v>needs_geocoding</x:v>
      </x:c>
    </x:row>
    <x:row r="32">
      <x:c r="A32" s="13" t="str">
        <x:v>SEOUL031</x:v>
      </x:c>
      <x:c r="B32" s="13" t="str">
        <x:v>문화역서울284</x:v>
      </x:c>
      <x:c r="C32" s="13" t="str">
        <x:v>Culture Station Seoul 284</x:v>
      </x:c>
      <x:c r="D32" s="13" t="str">
        <x:v>Media Art</x:v>
      </x:c>
      <x:c r="E32" s="13" t="str">
        <x:v>Architecture; Installation; Exhibition</x:v>
      </x:c>
      <x:c r="F32" s="13" t="str">
        <x:v>옛 서울역 건축 안에서 현대 전시와 미디어 설치를 경험하는 문화공간.</x:v>
      </x:c>
      <x:c r="G32" s="13" t="str">
        <x:v>구 서울역사를 복원한 복합문화공간으로 전시·공연·프로젝트가 순환한다.</x:v>
      </x:c>
      <x:c r="H32" s="13" t="str">
        <x:v>근대 건축의 역사적 층위와 동시대 전시 연출이 충돌·중첩되는 장소로, 미디어 설치가 공간 기억을 재해석하기 좋은 조건을 갖는다.</x:v>
      </x:c>
      <x:c r="I32" s="13" t="str">
        <x:v>서울역 빛 산책 코스의 건축·전시 거점.</x:v>
      </x:c>
      <x:c r="J32" s="13" t="str">
        <x:v>서울특별시 중구 통일로 1</x:v>
      </x:c>
      <x:c r="K32" s="13" t="str">
        <x:v>중구</x:v>
      </x:c>
      <x:c r="L32" s="13"/>
      <x:c r="M32" s="13"/>
      <x:c r="N32" s="29" t="b">
        <x:v>1</x:v>
      </x:c>
      <x:c r="O32" s="29" t="b">
        <x:v>1</x:v>
      </x:c>
      <x:c r="P32" s="29" t="b">
        <x:v>1</x:v>
      </x:c>
      <x:c r="Q32" s="13" t="str">
        <x:v>active_rotation</x:v>
      </x:c>
      <x:c r="R32" s="13" t="str">
        <x:v>cultural_venue_rotation</x:v>
      </x:c>
      <x:c r="S32" s="13" t="str">
        <x:v>2026 가을 기획전 운영</x:v>
      </x:c>
      <x:c r="T32" s="13" t="str">
        <x:v>2026-09-17</x:v>
      </x:c>
      <x:c r="U32" s="13" t="str">
        <x:v>2026-11-01</x:v>
      </x:c>
      <x:c r="V32" s="13" t="str">
        <x:v>전시별 확인</x:v>
      </x:c>
      <x:c r="W32" s="13" t="str">
        <x:v>낮~저녁</x:v>
      </x:c>
      <x:c r="X32" s="13" t="str">
        <x:v>https://www.seoul284.org/</x:v>
      </x:c>
      <x:c r="Y32" s="13" t="str">
        <x:v>https://www.seoul284.org/</x:v>
      </x:c>
      <x:c r="Z32" s="13" t="str">
        <x:v>문화역서울284</x:v>
      </x:c>
      <x:c r="AA32" s="13" t="str">
        <x:v>2026-09-21</x:v>
      </x:c>
      <x:c r="AB32" s="13" t="str">
        <x:v>medium</x:v>
      </x:c>
      <x:c r="AC32" s="13" t="str">
        <x:v>B</x:v>
      </x:c>
      <x:c r="AD32" s="13" t="str">
        <x:v>needs_geocoding</x:v>
      </x:c>
    </x:row>
    <x:row r="33">
      <x:c r="A33" s="13" t="str">
        <x:v>SEOUL032</x:v>
      </x:c>
      <x:c r="B33" s="13" t="str">
        <x:v>서울도시건축전시관</x:v>
      </x:c>
      <x:c r="C33" s="13" t="str">
        <x:v>Seoul Hall of Urbanism &amp; Architecture</x:v>
      </x:c>
      <x:c r="D33" s="13" t="str">
        <x:v>Media Art</x:v>
      </x:c>
      <x:c r="E33" s="13" t="str">
        <x:v>Architecture; Interactive; Exhibition</x:v>
      </x:c>
      <x:c r="F33" s="13" t="str">
        <x:v>도시·건축을 미디어와 인터랙티브 전시로 풀어내는 광화문 인근 공공 전시관.</x:v>
      </x:c>
      <x:c r="G33" s="13" t="str">
        <x:v>서울 도시와 건축을 주제로 전시·포럼·미디어 콘텐츠를 운영하는 공공문화공간이다.</x:v>
      </x:c>
      <x:c r="H33" s="13" t="str">
        <x:v>도시 데이터를 시각화하고 건축 담론을 인터랙티브 미디어로 전달하기에 적합한 전문-대중 연결형 플랫폼이다.</x:v>
      </x:c>
      <x:c r="I33" s="13" t="str">
        <x:v>‘빛의 건축’의 도시·건축 해설 콘텐츠와 가장 직접적으로 연계 가능한 기관.</x:v>
      </x:c>
      <x:c r="J33" s="13" t="str">
        <x:v>서울특별시 중구 세종대로 119</x:v>
      </x:c>
      <x:c r="K33" s="13" t="str">
        <x:v>중구</x:v>
      </x:c>
      <x:c r="L33" s="13"/>
      <x:c r="M33" s="13"/>
      <x:c r="N33" s="29" t="b">
        <x:v>1</x:v>
      </x:c>
      <x:c r="O33" s="29" t="b">
        <x:v>1</x:v>
      </x:c>
      <x:c r="P33" s="29" t="b">
        <x:v>1</x:v>
      </x:c>
      <x:c r="Q33" s="13" t="str">
        <x:v>active_rotation</x:v>
      </x:c>
      <x:c r="R33" s="13" t="str">
        <x:v>public_exhibition_rotation</x:v>
      </x:c>
      <x:c r="S33" s="13" t="str">
        <x:v>도시·건축 전시 순환</x:v>
      </x:c>
      <x:c r="T33" s="13" t="str"/>
      <x:c r="U33" s="13" t="str"/>
      <x:c r="V33" s="13" t="str">
        <x:v>10:00-18:00 중심(전시별 확인)</x:v>
      </x:c>
      <x:c r="W33" s="13" t="str">
        <x:v>낮</x:v>
      </x:c>
      <x:c r="X33" s="13" t="str">
        <x:v>https://sca.seoul.go.kr/</x:v>
      </x:c>
      <x:c r="Y33" s="13" t="str">
        <x:v>https://english.visitseoul.net/City-Hall-Area/Seoul-Hall-of-Urbanism--Architecture/ENP034149</x:v>
      </x:c>
      <x:c r="Z33" s="13" t="str">
        <x:v>서울특별시/서울관광</x:v>
      </x:c>
      <x:c r="AA33" s="13" t="str">
        <x:v>2026-09-21</x:v>
      </x:c>
      <x:c r="AB33" s="13" t="str">
        <x:v>medium</x:v>
      </x:c>
      <x:c r="AC33" s="13" t="str">
        <x:v>B</x:v>
      </x:c>
      <x:c r="AD33" s="13" t="str">
        <x:v>needs_geocoding</x:v>
      </x:c>
    </x:row>
    <x:row r="34">
      <x:c r="A34" s="13" t="str">
        <x:v>SEOUL033</x:v>
      </x:c>
      <x:c r="B34" s="13" t="str">
        <x:v>문화비축기지 T4·T5</x:v>
      </x:c>
      <x:c r="C34" s="13" t="str">
        <x:v>Oil Tank Culture Park T4/T5</x:v>
      </x:c>
      <x:c r="D34" s="13" t="str">
        <x:v>Immersive</x:v>
      </x:c>
      <x:c r="E34" s="13" t="str">
        <x:v>Architecture; Projection; Exhibition</x:v>
      </x:c>
      <x:c r="F34" s="13" t="str">
        <x:v>산업유산 탱크 내부를 360도 영상과 전시공간으로 바꾼 장소.</x:v>
      </x:c>
      <x:c r="G34" s="13" t="str">
        <x:v>옛 석유비축기지를 문화공간으로 재생했으며 T4·T5 등은 전시와 미디어 콘텐츠에 활용된다.</x:v>
      </x:c>
      <x:c r="H34" s="13" t="str">
        <x:v>원통형 산업구조의 공간감을 그대로 보존해 프로젝션·사운드와 결합할 때 일반 화이트큐브와 다른 몰입감을 만든다.</x:v>
      </x:c>
      <x:c r="I34" s="13" t="str">
        <x:v>산업유산 재생 + 미디어아트라는 강한 스토리텔링이 가능.</x:v>
      </x:c>
      <x:c r="J34" s="13" t="str">
        <x:v>서울특별시 마포구 증산로 87</x:v>
      </x:c>
      <x:c r="K34" s="13" t="str">
        <x:v>마포구</x:v>
      </x:c>
      <x:c r="L34" s="13"/>
      <x:c r="M34" s="13"/>
      <x:c r="N34" s="29" t="b">
        <x:v>1</x:v>
      </x:c>
      <x:c r="O34" s="29" t="b">
        <x:v>1</x:v>
      </x:c>
      <x:c r="P34" s="29" t="b">
        <x:v>1</x:v>
      </x:c>
      <x:c r="Q34" s="13" t="str">
        <x:v>active_rotation</x:v>
      </x:c>
      <x:c r="R34" s="13" t="str">
        <x:v>cultural_venue_rotation</x:v>
      </x:c>
      <x:c r="S34" s="13" t="str">
        <x:v>T5 360° 영상 시스템 등 상설 설비/기획 프로그램</x:v>
      </x:c>
      <x:c r="T34" s="13" t="str"/>
      <x:c r="U34" s="13" t="str"/>
      <x:c r="V34" s="13" t="str">
        <x:v>공원·시설별 확인</x:v>
      </x:c>
      <x:c r="W34" s="13" t="str">
        <x:v>낮~저녁</x:v>
      </x:c>
      <x:c r="X34" s="13" t="str">
        <x:v>https://parks.seoul.go.kr/culturetank</x:v>
      </x:c>
      <x:c r="Y34" s="13" t="str">
        <x:v>https://english.seoul.go.kr/</x:v>
      </x:c>
      <x:c r="Z34" s="13" t="str">
        <x:v>서울특별시</x:v>
      </x:c>
      <x:c r="AA34" s="13" t="str">
        <x:v>2026-09-21</x:v>
      </x:c>
      <x:c r="AB34" s="13" t="str">
        <x:v>high</x:v>
      </x:c>
      <x:c r="AC34" s="13" t="str">
        <x:v>B</x:v>
      </x:c>
      <x:c r="AD34" s="13" t="str">
        <x:v>needs_geocoding</x:v>
      </x:c>
    </x:row>
    <x:row r="35">
      <x:c r="A35" s="13" t="str">
        <x:v>SEOUL034</x:v>
      </x:c>
      <x:c r="B35" s="13" t="str">
        <x:v>서울시립 사진미술관</x:v>
      </x:c>
      <x:c r="C35" s="13" t="str">
        <x:v>Photography Seoul Museum of Art</x:v>
      </x:c>
      <x:c r="D35" s="13" t="str">
        <x:v>Media Art</x:v>
      </x:c>
      <x:c r="E35" s="13" t="str">
        <x:v>Photography; Video; Architecture</x:v>
      </x:c>
      <x:c r="F35" s="13" t="str">
        <x:v>‘빛으로 그리는 이미지’를 현대 사진·영상·설치로 확장하는 공공미술관.</x:v>
      </x:c>
      <x:c r="G35" s="13" t="str">
        <x:v>2025년 도봉구에 개관한 사진 전문 서울시립미술관 분관으로 사진·영상·설치 전시를 운영한다.</x:v>
      </x:c>
      <x:c r="H35" s="13" t="str">
        <x:v>사진의 광학적 기원과 디지털 이미지·영상 매체를 연결해 ‘빛’이라는 앱의 큰 주제와 잘 맞는다.</x:v>
      </x:c>
      <x:c r="I35" s="13" t="str">
        <x:v>미디어아트를 영상·사진까지 넓히는 데 유용한 동북권 거점.</x:v>
      </x:c>
      <x:c r="J35" s="13" t="str">
        <x:v>서울특별시 도봉구 마들로13길 68</x:v>
      </x:c>
      <x:c r="K35" s="13" t="str">
        <x:v>도봉구</x:v>
      </x:c>
      <x:c r="L35" s="13"/>
      <x:c r="M35" s="13"/>
      <x:c r="N35" s="29" t="b">
        <x:v>1</x:v>
      </x:c>
      <x:c r="O35" s="29" t="b">
        <x:v>1</x:v>
      </x:c>
      <x:c r="P35" s="29" t="b">
        <x:v>1</x:v>
      </x:c>
      <x:c r="Q35" s="13" t="str">
        <x:v>active</x:v>
      </x:c>
      <x:c r="R35" s="13" t="str">
        <x:v>museum_rotation</x:v>
      </x:c>
      <x:c r="S35" s="13" t="str">
        <x:v>마틴 파: We Are Martin Parr</x:v>
      </x:c>
      <x:c r="T35" s="13" t="str">
        <x:v>2026-07-16</x:v>
      </x:c>
      <x:c r="U35" s="13" t="str">
        <x:v>2026-10-18</x:v>
      </x:c>
      <x:c r="V35" s="13" t="str">
        <x:v>화~금 10:00-20:00 / 주말·공휴일 계절별</x:v>
      </x:c>
      <x:c r="W35" s="13" t="str">
        <x:v>낮</x:v>
      </x:c>
      <x:c r="X35" s="13" t="str">
        <x:v>https://sema.seoul.go.kr/en/visit/photosema</x:v>
      </x:c>
      <x:c r="Y35" s="13" t="str">
        <x:v>https://sema.seoul.go.kr/en/visit/photosema</x:v>
      </x:c>
      <x:c r="Z35" s="13" t="str">
        <x:v>서울시립미술관</x:v>
      </x:c>
      <x:c r="AA35" s="13" t="str">
        <x:v>2026-09-21</x:v>
      </x:c>
      <x:c r="AB35" s="13" t="str">
        <x:v>high</x:v>
      </x:c>
      <x:c r="AC35" s="13" t="str">
        <x:v>B</x:v>
      </x:c>
      <x:c r="AD35" s="13" t="str">
        <x:v>needs_geocoding</x:v>
      </x:c>
    </x:row>
    <x:row r="36">
      <x:c r="A36" s="13" t="str">
        <x:v>SEOUL035</x:v>
      </x:c>
      <x:c r="B36" s="13" t="str">
        <x:v>서울시립미술관 서소문본관</x:v>
      </x:c>
      <x:c r="C36" s="13" t="str">
        <x:v>SeMA Seosomun Main Building</x:v>
      </x:c>
      <x:c r="D36" s="13" t="str">
        <x:v>Media Art</x:v>
      </x:c>
      <x:c r="E36" s="13" t="str">
        <x:v>Museum; Installation; Technology Art</x:v>
      </x:c>
      <x:c r="F36" s="13" t="str">
        <x:v>한국 현대미술과 미디어 기반 전시를 지속적으로 만날 수 있는 도심 미술관.</x:v>
      </x:c>
      <x:c r="G36" s="13" t="str">
        <x:v>덕수궁길의 서울시립미술관 본관으로 회화부터 설치·기술 기반 전시까지 폭넓은 프로그램을 운영한다.</x:v>
      </x:c>
      <x:c r="H36" s="13" t="str">
        <x:v>서울미디어시티비엔날레의 주요 거점이자 기술·미디어 관련 기획전이 반복되는 기관이라는 장기적 가치가 크다.</x:v>
      </x:c>
      <x:c r="I36" s="13" t="str">
        <x:v>광화문-정동 큐레이션 코스에 공공미술관 깊이를 더한다.</x:v>
      </x:c>
      <x:c r="J36" s="13" t="str">
        <x:v>서울특별시 중구 덕수궁길 61</x:v>
      </x:c>
      <x:c r="K36" s="13" t="str">
        <x:v>중구</x:v>
      </x:c>
      <x:c r="L36" s="13"/>
      <x:c r="M36" s="13"/>
      <x:c r="N36" s="29" t="b">
        <x:v>1</x:v>
      </x:c>
      <x:c r="O36" s="29" t="b">
        <x:v>1</x:v>
      </x:c>
      <x:c r="P36" s="29" t="b">
        <x:v>1</x:v>
      </x:c>
      <x:c r="Q36" s="13" t="str">
        <x:v>active</x:v>
      </x:c>
      <x:c r="R36" s="13" t="str">
        <x:v>museum_rotation</x:v>
      </x:c>
      <x:c r="S36" s="13" t="str">
        <x:v>기술의 저변: 경계에 선 장면들 등</x:v>
      </x:c>
      <x:c r="T36" s="13" t="str">
        <x:v>2026-04-16</x:v>
      </x:c>
      <x:c r="U36" s="13" t="str">
        <x:v>2026-11-22</x:v>
      </x:c>
      <x:c r="V36" s="13" t="str">
        <x:v>미술관 운영시간 기준</x:v>
      </x:c>
      <x:c r="W36" s="13" t="str">
        <x:v>낮</x:v>
      </x:c>
      <x:c r="X36" s="13" t="str">
        <x:v>https://sema.seoul.go.kr/</x:v>
      </x:c>
      <x:c r="Y36" s="13" t="str">
        <x:v>https://sema.seoul.go.kr/kr/whatson/landing?whenType=NEXT_WEEK</x:v>
      </x:c>
      <x:c r="Z36" s="13" t="str">
        <x:v>서울시립미술관</x:v>
      </x:c>
      <x:c r="AA36" s="13" t="str">
        <x:v>2026-09-21</x:v>
      </x:c>
      <x:c r="AB36" s="13" t="str">
        <x:v>high</x:v>
      </x:c>
      <x:c r="AC36" s="13" t="str">
        <x:v>B</x:v>
      </x:c>
      <x:c r="AD36" s="13" t="str">
        <x:v>needs_geocoding</x:v>
      </x:c>
    </x:row>
    <x:row r="37">
      <x:c r="A37" s="13" t="str">
        <x:v>SEOUL036</x:v>
      </x:c>
      <x:c r="B37" s="13" t="str">
        <x:v>서울시립 북서울미술관</x:v>
      </x:c>
      <x:c r="C37" s="13" t="str">
        <x:v>Buk-Seoul Museum of Art</x:v>
      </x:c>
      <x:c r="D37" s="13" t="str">
        <x:v>Media Art</x:v>
      </x:c>
      <x:c r="E37" s="13" t="str">
        <x:v>Sound Art; Installation; Museum</x:v>
      </x:c>
      <x:c r="F37" s="13" t="str">
        <x:v>사운드·기술·설치 기반 동시대 전시가 열리는 동북권 공공미술관.</x:v>
      </x:c>
      <x:c r="G37" s="13" t="str">
        <x:v>노원구에 위치한 서울시립미술관 분관으로 가족·지역 관객과 동시대 미술을 연결한다.</x:v>
      </x:c>
      <x:c r="H37" s="13" t="str">
        <x:v>2026년에도 기술·사운드·설치 기반 전시가 이어져 미디어아트를 화면 중심에서 청각·공간 경험으로 확장할 수 있다.</x:v>
      </x:c>
      <x:c r="I37" s="13" t="str">
        <x:v>노원 불빛정원과 묶어 동북권 하루 코스를 만들기 좋다.</x:v>
      </x:c>
      <x:c r="J37" s="13" t="str">
        <x:v>서울특별시 노원구 동일로 1238</x:v>
      </x:c>
      <x:c r="K37" s="13" t="str">
        <x:v>노원구</x:v>
      </x:c>
      <x:c r="L37" s="13"/>
      <x:c r="M37" s="13"/>
      <x:c r="N37" s="29" t="b">
        <x:v>1</x:v>
      </x:c>
      <x:c r="O37" s="29" t="b">
        <x:v>1</x:v>
      </x:c>
      <x:c r="P37" s="29" t="b">
        <x:v>1</x:v>
      </x:c>
      <x:c r="Q37" s="13" t="str">
        <x:v>active</x:v>
      </x:c>
      <x:c r="R37" s="13" t="str">
        <x:v>museum_rotation</x:v>
      </x:c>
      <x:c r="S37" s="13" t="str">
        <x:v>권병준: 내 마음속에 너는 / 타이틀 매치</x:v>
      </x:c>
      <x:c r="T37" s="13" t="str">
        <x:v>2026-06-11</x:v>
      </x:c>
      <x:c r="U37" s="13" t="str">
        <x:v>2027-05-16</x:v>
      </x:c>
      <x:c r="V37" s="13" t="str">
        <x:v>미술관 운영시간 기준</x:v>
      </x:c>
      <x:c r="W37" s="13" t="str">
        <x:v>낮</x:v>
      </x:c>
      <x:c r="X37" s="13" t="str">
        <x:v>https://sema.seoul.go.kr/</x:v>
      </x:c>
      <x:c r="Y37" s="13" t="str">
        <x:v>https://sema.seoul.go.kr/kr/whatson/landing?whenType=NEXT_WEEK</x:v>
      </x:c>
      <x:c r="Z37" s="13" t="str">
        <x:v>서울시립미술관</x:v>
      </x:c>
      <x:c r="AA37" s="13" t="str">
        <x:v>2026-09-21</x:v>
      </x:c>
      <x:c r="AB37" s="13" t="str">
        <x:v>high</x:v>
      </x:c>
      <x:c r="AC37" s="13" t="str">
        <x:v>B</x:v>
      </x:c>
      <x:c r="AD37" s="13" t="str">
        <x:v>needs_geocoding</x:v>
      </x:c>
    </x:row>
    <x:row r="38">
      <x:c r="A38" s="13" t="str">
        <x:v>SEOUL037</x:v>
      </x:c>
      <x:c r="B38" s="13" t="str">
        <x:v>서울시립 백남준을 기억하는 집</x:v>
      </x:c>
      <x:c r="C38" s="13" t="str">
        <x:v>Nam June Paik Memorial House</x:v>
      </x:c>
      <x:c r="D38" s="13" t="str">
        <x:v>Media Art</x:v>
      </x:c>
      <x:c r="E38" s="13" t="str">
        <x:v>Archive; Architecture; Video Art</x:v>
      </x:c>
      <x:c r="F38" s="13" t="str">
        <x:v>백남준의 기억과 비디오아트 역사를 한옥 공간에서 만나는 작은 미디어아트 거점.</x:v>
      </x:c>
      <x:c r="G38" s="13" t="str">
        <x:v>백남준이 어린 시절 살았던 창신동 일대의 기억을 바탕으로 조성된 서울시립미술관 분관이다.</x:v>
      </x:c>
      <x:c r="H38" s="13" t="str">
        <x:v>뉴미디어 예술의 역사적 맥락과 장소 기억을 함께 전달할 수 있어 사례 설명형 앱에 특히 적합하다.</x:v>
      </x:c>
      <x:c r="I38" s="13" t="str">
        <x:v>‘왜 미디어아트가 지금의 형태가 되었는가’를 설명해주는 역사적 앵커.</x:v>
      </x:c>
      <x:c r="J38" s="13" t="str">
        <x:v>서울특별시 종로구 종로53길 12-1</x:v>
      </x:c>
      <x:c r="K38" s="13" t="str">
        <x:v>종로구</x:v>
      </x:c>
      <x:c r="L38" s="13"/>
      <x:c r="M38" s="13"/>
      <x:c r="N38" s="29" t="b">
        <x:v>1</x:v>
      </x:c>
      <x:c r="O38" s="29" t="b">
        <x:v>1</x:v>
      </x:c>
      <x:c r="P38" s="29" t="b">
        <x:v>1</x:v>
      </x:c>
      <x:c r="Q38" s="13" t="str">
        <x:v>active</x:v>
      </x:c>
      <x:c r="R38" s="13" t="str">
        <x:v>museum_rotation</x:v>
      </x:c>
      <x:c r="S38" s="13" t="str">
        <x:v>메가트론 랩소디(공식 페이지 기준 전시 안내)</x:v>
      </x:c>
      <x:c r="T38" s="13" t="str">
        <x:v>2025-06-17</x:v>
      </x:c>
      <x:c r="U38" s="13" t="str"/>
      <x:c r="V38" s="13" t="str">
        <x:v>미술관 운영시간 확인</x:v>
      </x:c>
      <x:c r="W38" s="13" t="str">
        <x:v>낮</x:v>
      </x:c>
      <x:c r="X38" s="13" t="str">
        <x:v>https://sema.seoul.go.kr/kr/visit/nam_june_paik_house</x:v>
      </x:c>
      <x:c r="Y38" s="13" t="str">
        <x:v>https://sema.seoul.go.kr/kr/visit/nam_june_paik_house</x:v>
      </x:c>
      <x:c r="Z38" s="13" t="str">
        <x:v>서울시립미술관</x:v>
      </x:c>
      <x:c r="AA38" s="13" t="str">
        <x:v>2026-09-21</x:v>
      </x:c>
      <x:c r="AB38" s="13" t="str">
        <x:v>high</x:v>
      </x:c>
      <x:c r="AC38" s="13" t="str">
        <x:v>B</x:v>
      </x:c>
      <x:c r="AD38" s="13" t="str">
        <x:v>needs_geocoding</x:v>
      </x:c>
    </x:row>
    <x:row r="39">
      <x:c r="A39" s="13" t="str">
        <x:v>SEOUL038</x:v>
      </x:c>
      <x:c r="B39" s="13" t="str">
        <x:v>서울시청 서울림(林) 미디어월</x:v>
      </x:c>
      <x:c r="C39" s="13" t="str">
        <x:v>Seoul City Hall Seoul-Lim Media Wall</x:v>
      </x:c>
      <x:c r="D39" s="13" t="str">
        <x:v>Media Art</x:v>
      </x:c>
      <x:c r="E39" s="13" t="str">
        <x:v>Media Wall; AR; Public Art</x:v>
      </x:c>
      <x:c r="F39" s="13" t="str">
        <x:v>서울시청 로비에서 누구나 무료로 보는 대형 미디어월.</x:v>
      </x:c>
      <x:c r="G39" s="13" t="str">
        <x:v>서울시청 본관 1층 로비에 설치된 공공 미디어월로 공모·기획 미디어아트와 AR 연계 콘텐츠를 선보인다.</x:v>
      </x:c>
      <x:c r="H39" s="13" t="str">
        <x:v>행정공간의 로비를 전시공간으로 전환해 일상적 시민 동선에 미디어아트를 삽입하는 사례다.</x:v>
      </x:c>
      <x:c r="I39" s="13" t="str">
        <x:v>날씨와 상관없이 무료로 접근 가능한 도심 실내 콘텐츠.</x:v>
      </x:c>
      <x:c r="J39" s="13" t="str">
        <x:v>서울특별시 중구 세종대로 110 서울시청 본관 1층</x:v>
      </x:c>
      <x:c r="K39" s="13" t="str">
        <x:v>중구</x:v>
      </x:c>
      <x:c r="L39" s="13"/>
      <x:c r="M39" s="13"/>
      <x:c r="N39" s="29" t="b">
        <x:v>1</x:v>
      </x:c>
      <x:c r="O39" s="29" t="b">
        <x:v>1</x:v>
      </x:c>
      <x:c r="P39" s="29" t="b">
        <x:v>1</x:v>
      </x:c>
      <x:c r="Q39" s="13" t="str">
        <x:v>verify_current_program</x:v>
      </x:c>
      <x:c r="R39" s="13" t="str">
        <x:v>seasonal_program</x:v>
      </x:c>
      <x:c r="S39" s="13" t="str">
        <x:v>2026 첫 전시 종료 후 후속편성 확인 필요</x:v>
      </x:c>
      <x:c r="T39" s="13" t="str"/>
      <x:c r="U39" s="13" t="str"/>
      <x:c r="V39" s="13" t="str">
        <x:v>시청 개방시간 내</x:v>
      </x:c>
      <x:c r="W39" s="13" t="str">
        <x:v>낮</x:v>
      </x:c>
      <x:c r="X39" s="13" t="str">
        <x:v>https://www.seoul.go.kr/</x:v>
      </x:c>
      <x:c r="Y39" s="13" t="str">
        <x:v>https://love.seoul.go.kr/articles/10503</x:v>
      </x:c>
      <x:c r="Z39" s="13" t="str">
        <x:v>서울특별시 서울사랑</x:v>
      </x:c>
      <x:c r="AA39" s="13" t="str">
        <x:v>2026-09-21</x:v>
      </x:c>
      <x:c r="AB39" s="13" t="str">
        <x:v>high</x:v>
      </x:c>
      <x:c r="AC39" s="13" t="str">
        <x:v>B</x:v>
      </x:c>
      <x:c r="AD39" s="13" t="str">
        <x:v>needs_geocoding</x:v>
      </x:c>
    </x:row>
    <x:row r="40">
      <x:c r="A40" s="13" t="str">
        <x:v>SEOUL039</x:v>
      </x:c>
      <x:c r="B40" s="13" t="str">
        <x:v>피크닉</x:v>
      </x:c>
      <x:c r="C40" s="13" t="str">
        <x:v>Piknic</x:v>
      </x:c>
      <x:c r="D40" s="13" t="str">
        <x:v>Media Art</x:v>
      </x:c>
      <x:c r="E40" s="13" t="str">
        <x:v>Immersive; Exhibition; Architecture</x:v>
      </x:c>
      <x:c r="F40" s="13" t="str">
        <x:v>남산 아래 오래된 건물을 전시와 공간 연출로 바꾼 큐레이션형 문화공간.</x:v>
      </x:c>
      <x:c r="G40" s="13" t="str">
        <x:v>회현동의 복합문화공간으로 사진·음악·설치·몰입형 전시를 순환 운영한다.</x:v>
      </x:c>
      <x:c r="H40" s="13" t="str">
        <x:v>전시 콘텐츠뿐 아니라 건축 동선·채광·정원까지 하나의 서사로 큐레이션하는 방식이 앱의 공간 해설 모델과 잘 맞는다.</x:v>
      </x:c>
      <x:c r="I40" s="13" t="str">
        <x:v>일반인 관람 수요가 높고 ‘전시+건축’ 콘텐츠 제작에 적합.</x:v>
      </x:c>
      <x:c r="J40" s="13" t="str">
        <x:v>서울특별시 중구 퇴계로6가길 30</x:v>
      </x:c>
      <x:c r="K40" s="13" t="str">
        <x:v>중구</x:v>
      </x:c>
      <x:c r="L40" s="13"/>
      <x:c r="M40" s="13"/>
      <x:c r="N40" s="29" t="b">
        <x:v>1</x:v>
      </x:c>
      <x:c r="O40" s="29" t="b">
        <x:v>0</x:v>
      </x:c>
      <x:c r="P40" s="29" t="b">
        <x:v>1</x:v>
      </x:c>
      <x:c r="Q40" s="13" t="str">
        <x:v>between_exhibitions</x:v>
      </x:c>
      <x:c r="R40" s="13" t="str">
        <x:v>ticketed_rotation</x:v>
      </x:c>
      <x:c r="S40" s="13" t="str">
        <x:v>다음 전시 준비 여부 공식 채널 확인</x:v>
      </x:c>
      <x:c r="T40" s="13" t="str"/>
      <x:c r="U40" s="13" t="str"/>
      <x:c r="V40" s="13" t="str">
        <x:v>전시별 상이</x:v>
      </x:c>
      <x:c r="W40" s="13" t="str">
        <x:v>낮</x:v>
      </x:c>
      <x:c r="X40" s="13" t="str">
        <x:v>https://piknic.kr/</x:v>
      </x:c>
      <x:c r="Y40" s="13" t="str">
        <x:v>https://piknic.kr/</x:v>
      </x:c>
      <x:c r="Z40" s="13" t="str">
        <x:v>Piknic</x:v>
      </x:c>
      <x:c r="AA40" s="13" t="str">
        <x:v>2026-09-21</x:v>
      </x:c>
      <x:c r="AB40" s="13" t="str">
        <x:v>medium</x:v>
      </x:c>
      <x:c r="AC40" s="13" t="str">
        <x:v>B</x:v>
      </x:c>
      <x:c r="AD40" s="13" t="str">
        <x:v>needs_geocoding</x:v>
      </x:c>
    </x:row>
    <x:row r="41">
      <x:c r="A41" s="13" t="str">
        <x:v>SEOUL040</x:v>
      </x:c>
      <x:c r="B41" s="13" t="str">
        <x:v>더현대 서울 ALT.1</x:v>
      </x:c>
      <x:c r="C41" s="13" t="str">
        <x:v>The Hyundai Seoul ALT.1</x:v>
      </x:c>
      <x:c r="D41" s="13" t="str">
        <x:v>Immersive</x:v>
      </x:c>
      <x:c r="E41" s="13" t="str">
        <x:v>Media Art; Exhibition</x:v>
      </x:c>
      <x:c r="F41" s="13" t="str">
        <x:v>대형 상업공간 안에서 블록버스터 전시를 만나는 실내 전시 플랫폼.</x:v>
      </x:c>
      <x:c r="G41" s="13" t="str">
        <x:v>더현대 서울 내 전시공간으로 디지털·몰입형·대중문화 전시를 포함한 대형 기획전을 순환 운영한다.</x:v>
      </x:c>
      <x:c r="H41" s="13" t="str">
        <x:v>쇼핑몰 유동인구와 전시 관람을 결합해 대중 접근성이 매우 높은 ‘상업시설 속 문화공간’ 유형이다.</x:v>
      </x:c>
      <x:c r="I41" s="13" t="str">
        <x:v>여의도 일반인 유입을 확보하기 좋은 장소지만 콘텐츠는 전시별 적합성 필터링 필요.</x:v>
      </x:c>
      <x:c r="J41" s="13" t="str">
        <x:v>서울특별시 영등포구 여의대로 108 더현대 서울</x:v>
      </x:c>
      <x:c r="K41" s="13" t="str">
        <x:v>영등포구</x:v>
      </x:c>
      <x:c r="L41" s="13"/>
      <x:c r="M41" s="13"/>
      <x:c r="N41" s="29" t="b">
        <x:v>1</x:v>
      </x:c>
      <x:c r="O41" s="29" t="b">
        <x:v>0</x:v>
      </x:c>
      <x:c r="P41" s="29" t="b">
        <x:v>1</x:v>
      </x:c>
      <x:c r="Q41" s="13" t="str">
        <x:v>active_rotation</x:v>
      </x:c>
      <x:c r="R41" s="13" t="str">
        <x:v>ticketed_rotation</x:v>
      </x:c>
      <x:c r="S41" s="13" t="str">
        <x:v>전시별 미디어 적합성 확인 필요</x:v>
      </x:c>
      <x:c r="T41" s="13" t="str"/>
      <x:c r="U41" s="13" t="str"/>
      <x:c r="V41" s="13" t="str">
        <x:v>전시별 상이</x:v>
      </x:c>
      <x:c r="W41" s="13" t="str">
        <x:v>낮~저녁</x:v>
      </x:c>
      <x:c r="X41" s="13" t="str">
        <x:v>https://www.thehyundaiseoul.com/</x:v>
      </x:c>
      <x:c r="Y41" s="13" t="str">
        <x:v>https://www.thehyundaiseoul.com/</x:v>
      </x:c>
      <x:c r="Z41" s="13" t="str">
        <x:v>현대백화점</x:v>
      </x:c>
      <x:c r="AA41" s="13" t="str">
        <x:v>2026-09-21</x:v>
      </x:c>
      <x:c r="AB41" s="13" t="str">
        <x:v>medium</x:v>
      </x:c>
      <x:c r="AC41" s="13" t="str">
        <x:v>B</x:v>
      </x:c>
      <x:c r="AD41" s="13" t="str">
        <x:v>needs_geocoding</x:v>
      </x:c>
    </x:row>
    <x:row r="42">
      <x:c r="A42" s="13" t="str">
        <x:v>SEOUL041</x:v>
      </x:c>
      <x:c r="B42" s="13" t="str">
        <x:v>그라운드시소 이스트</x:v>
      </x:c>
      <x:c r="C42" s="13" t="str">
        <x:v>Ground Seesaw East</x:v>
      </x:c>
      <x:c r="D42" s="13" t="str">
        <x:v>Immersive</x:v>
      </x:c>
      <x:c r="E42" s="13" t="str">
        <x:v>Media Art; Exhibition</x:v>
      </x:c>
      <x:c r="F42" s="13" t="str">
        <x:v>성수·광진권에서 몰입형·영상 중심 전시를 선보이는 대형 전시공간.</x:v>
      </x:c>
      <x:c r="G42" s="13" t="str">
        <x:v>아차산로 일대에 위치한 그라운드시소 전시공간으로 대형 영상·공간형 콘텐츠를 순환 운영한다.</x:v>
      </x:c>
      <x:c r="H42" s="13" t="str">
        <x:v>상업 전시의 높은 제작 완성도와 대중성을 비교·분석하기 좋은 공간이다.</x:v>
      </x:c>
      <x:c r="I42" s="13" t="str">
        <x:v>‘일반인이 실제 돈을 내고 찾는 미디어 전시’ 데이터를 축적하기 좋은 후보.</x:v>
      </x:c>
      <x:c r="J42" s="13" t="str">
        <x:v>서울특별시 광진구 아차산로 402 인근</x:v>
      </x:c>
      <x:c r="K42" s="13" t="str">
        <x:v>광진구</x:v>
      </x:c>
      <x:c r="L42" s="13"/>
      <x:c r="M42" s="13"/>
      <x:c r="N42" s="29" t="b">
        <x:v>1</x:v>
      </x:c>
      <x:c r="O42" s="29" t="b">
        <x:v>0</x:v>
      </x:c>
      <x:c r="P42" s="29" t="b">
        <x:v>1</x:v>
      </x:c>
      <x:c r="Q42" s="13" t="str">
        <x:v>verify_current_program</x:v>
      </x:c>
      <x:c r="R42" s="13" t="str">
        <x:v>ticketed_rotation</x:v>
      </x:c>
      <x:c r="S42" s="13" t="str">
        <x:v>최신 전시 편성 확인 필요</x:v>
      </x:c>
      <x:c r="T42" s="13" t="str"/>
      <x:c r="U42" s="13" t="str"/>
      <x:c r="V42" s="13" t="str">
        <x:v>전시별 상이</x:v>
      </x:c>
      <x:c r="W42" s="13" t="str">
        <x:v>예약 시간</x:v>
      </x:c>
      <x:c r="X42" s="13" t="str">
        <x:v>https://groundseesaw.co.kr/</x:v>
      </x:c>
      <x:c r="Y42" s="13" t="str">
        <x:v>https://groundseesaw.co.kr/</x:v>
      </x:c>
      <x:c r="Z42" s="13" t="str">
        <x:v>Ground Seesaw</x:v>
      </x:c>
      <x:c r="AA42" s="13" t="str">
        <x:v>2026-09-21</x:v>
      </x:c>
      <x:c r="AB42" s="13" t="str">
        <x:v>medium</x:v>
      </x:c>
      <x:c r="AC42" s="13" t="str">
        <x:v>B</x:v>
      </x:c>
      <x:c r="AD42" s="13" t="str">
        <x:v>needs_manual_review</x:v>
      </x:c>
    </x:row>
    <x:row r="43">
      <x:c r="A43" s="13" t="str">
        <x:v>SEOUL042</x:v>
      </x:c>
      <x:c r="B43" s="13" t="str">
        <x:v>그라운드시소 서촌</x:v>
      </x:c>
      <x:c r="C43" s="13" t="str">
        <x:v>Ground Seesaw Seochon</x:v>
      </x:c>
      <x:c r="D43" s="13" t="str">
        <x:v>Media Art</x:v>
      </x:c>
      <x:c r="E43" s="13" t="str">
        <x:v>Immersive; Exhibition</x:v>
      </x:c>
      <x:c r="F43" s="13" t="str">
        <x:v>서촌의 소규모 건축 안에서 사진·영상·공간형 전시를 경험하는 전시공간.</x:v>
      </x:c>
      <x:c r="G43" s="13" t="str">
        <x:v>서촌에 위치한 그라운드시소 지점으로 시각예술 중심 기획전을 순환 운영한다.</x:v>
      </x:c>
      <x:c r="H43" s="13" t="str">
        <x:v>대형 몰입관과 달리 골목·소규모 건축 맥락에서 콘텐츠가 작동하는 방식을 비교할 수 있다.</x:v>
      </x:c>
      <x:c r="I43" s="13" t="str">
        <x:v>광화문·서촌 문화 산책 코스 확장용 후보.</x:v>
      </x:c>
      <x:c r="J43" s="13" t="str">
        <x:v>서울특별시 종로구 자하문로6길 18-8</x:v>
      </x:c>
      <x:c r="K43" s="13" t="str">
        <x:v>종로구</x:v>
      </x:c>
      <x:c r="L43" s="13"/>
      <x:c r="M43" s="13"/>
      <x:c r="N43" s="29" t="b">
        <x:v>1</x:v>
      </x:c>
      <x:c r="O43" s="29" t="b">
        <x:v>0</x:v>
      </x:c>
      <x:c r="P43" s="29" t="b">
        <x:v>1</x:v>
      </x:c>
      <x:c r="Q43" s="13" t="str">
        <x:v>verify_current_program</x:v>
      </x:c>
      <x:c r="R43" s="13" t="str">
        <x:v>ticketed_rotation</x:v>
      </x:c>
      <x:c r="S43" s="13" t="str">
        <x:v>최신 전시 편성 확인 필요</x:v>
      </x:c>
      <x:c r="T43" s="13" t="str"/>
      <x:c r="U43" s="13" t="str"/>
      <x:c r="V43" s="13" t="str">
        <x:v>전시별 상이</x:v>
      </x:c>
      <x:c r="W43" s="13" t="str">
        <x:v>낮</x:v>
      </x:c>
      <x:c r="X43" s="13" t="str">
        <x:v>https://groundseesaw.co.kr/</x:v>
      </x:c>
      <x:c r="Y43" s="13" t="str">
        <x:v>https://english.visitkorea.or.kr/</x:v>
      </x:c>
      <x:c r="Z43" s="13" t="str">
        <x:v>Ground Seesaw / 한국관광공사</x:v>
      </x:c>
      <x:c r="AA43" s="13" t="str">
        <x:v>2026-09-21</x:v>
      </x:c>
      <x:c r="AB43" s="13" t="str">
        <x:v>medium</x:v>
      </x:c>
      <x:c r="AC43" s="13" t="str">
        <x:v>C</x:v>
      </x:c>
      <x:c r="AD43" s="13" t="str">
        <x:v>needs_geocoding</x:v>
      </x:c>
    </x:row>
    <x:row r="44">
      <x:c r="A44" s="13" t="str">
        <x:v>SEOUL043</x:v>
      </x:c>
      <x:c r="B44" s="13" t="str">
        <x:v>N서울타워</x:v>
      </x:c>
      <x:c r="C44" s="13" t="str">
        <x:v>N Seoul Tower</x:v>
      </x:c>
      <x:c r="D44" s="13" t="str">
        <x:v>Light Art</x:v>
      </x:c>
      <x:c r="E44" s="13" t="str">
        <x:v>Architecture; Nightscape</x:v>
      </x:c>
      <x:c r="F44" s="13" t="str">
        <x:v>서울의 야경 속에서 자체 조명으로 색과 패턴을 바꾸는 상징적 타워.</x:v>
      </x:c>
      <x:c r="G44" s="13" t="str">
        <x:v>남산 정상의 전망·통신 타워로 야간에는 LED 조명과 미디어 연출이 건축 외관을 변화시킨다.</x:v>
      </x:c>
      <x:c r="H44" s="13" t="str">
        <x:v>도시 전체에서 조망되는 수직 랜드마크가 색채와 패턴을 통해 시간·이벤트 정보를 전달하는 ‘urban light beacon’ 유형이다.</x:v>
      </x:c>
      <x:c r="I44" s="13" t="str">
        <x:v>미디어아트뿐 아니라 ‘빛나는 건축’이라는 앱 이름을 가장 쉽게 이해시키는 장소.</x:v>
      </x:c>
      <x:c r="J44" s="13" t="str">
        <x:v>서울특별시 용산구 남산공원길 105</x:v>
      </x:c>
      <x:c r="K44" s="13" t="str">
        <x:v>용산구</x:v>
      </x:c>
      <x:c r="L44" s="13"/>
      <x:c r="M44" s="13"/>
      <x:c r="N44" s="29" t="b">
        <x:v>0</x:v>
      </x:c>
      <x:c r="O44" s="29" t="b">
        <x:v>0</x:v>
      </x:c>
      <x:c r="P44" s="29" t="b">
        <x:v>1</x:v>
      </x:c>
      <x:c r="Q44" s="13" t="str">
        <x:v>active</x:v>
      </x:c>
      <x:c r="R44" s="13" t="str">
        <x:v>architectural_lighting</x:v>
      </x:c>
      <x:c r="S44" s="13" t="str">
        <x:v>상설 야간 LED/라이트 연출</x:v>
      </x:c>
      <x:c r="T44" s="13" t="str"/>
      <x:c r="U44" s="13" t="str"/>
      <x:c r="V44" s="13" t="str">
        <x:v>시설 운영시간·조명편성 확인</x:v>
      </x:c>
      <x:c r="W44" s="13" t="str">
        <x:v>일몰 후</x:v>
      </x:c>
      <x:c r="X44" s="13" t="str">
        <x:v>https://www.nseoultower.co.kr/</x:v>
      </x:c>
      <x:c r="Y44" s="13" t="str">
        <x:v>https://www.nseoultower.co.kr/eng/global/intro.asp</x:v>
      </x:c>
      <x:c r="Z44" s="13" t="str">
        <x:v>N서울타워</x:v>
      </x:c>
      <x:c r="AA44" s="13" t="str">
        <x:v>2026-09-21</x:v>
      </x:c>
      <x:c r="AB44" s="13" t="str">
        <x:v>high</x:v>
      </x:c>
      <x:c r="AC44" s="13" t="str">
        <x:v>A</x:v>
      </x:c>
      <x:c r="AD44" s="13" t="str">
        <x:v>needs_geocoding</x:v>
      </x:c>
    </x:row>
    <x:row r="45">
      <x:c r="A45" s="13" t="str">
        <x:v>SEOUL044</x:v>
      </x:c>
      <x:c r="B45" s="13" t="str">
        <x:v>세빛섬</x:v>
      </x:c>
      <x:c r="C45" s="13" t="str">
        <x:v>Some Sevit</x:v>
      </x:c>
      <x:c r="D45" s="13" t="str">
        <x:v>Light Art</x:v>
      </x:c>
      <x:c r="E45" s="13" t="str">
        <x:v>Architecture; Nightscape; Media</x:v>
      </x:c>
      <x:c r="F45" s="13" t="str">
        <x:v>한강 위 인공섬 건축이 컬러 LED로 빛나는 야간 랜드마크.</x:v>
      </x:c>
      <x:c r="G45" s="13" t="str">
        <x:v>반포 한강공원에 위치한 복합문화공간으로 야간 경관조명과 외부 미디어 콘텐츠가 특징이다.</x:v>
      </x:c>
      <x:c r="H45" s="13" t="str">
        <x:v>수면 반사와 곡면 건축, LED 조명이 결합되어 건축 자체가 야간 경관의 주체가 된다.</x:v>
      </x:c>
      <x:c r="I45" s="13" t="str">
        <x:v>반포대교 분수와 묶으면 대중성이 높은 한강 빛 코스가 완성된다.</x:v>
      </x:c>
      <x:c r="J45" s="13" t="str">
        <x:v>서울특별시 서초구 올림픽대로 2085-14</x:v>
      </x:c>
      <x:c r="K45" s="13" t="str">
        <x:v>서초구</x:v>
      </x:c>
      <x:c r="L45" s="13"/>
      <x:c r="M45" s="13"/>
      <x:c r="N45" s="29" t="b">
        <x:v>0</x:v>
      </x:c>
      <x:c r="O45" s="29" t="b">
        <x:v>1</x:v>
      </x:c>
      <x:c r="P45" s="29" t="b">
        <x:v>1</x:v>
      </x:c>
      <x:c r="Q45" s="13" t="str">
        <x:v>active</x:v>
      </x:c>
      <x:c r="R45" s="13" t="str">
        <x:v>architectural_lighting</x:v>
      </x:c>
      <x:c r="S45" s="13" t="str">
        <x:v>상설 야간 조명·외부 스크린 콘텐츠</x:v>
      </x:c>
      <x:c r="T45" s="13" t="str"/>
      <x:c r="U45" s="13" t="str"/>
      <x:c r="V45" s="13" t="str">
        <x:v>시설별 상이</x:v>
      </x:c>
      <x:c r="W45" s="13" t="str">
        <x:v>일몰 후</x:v>
      </x:c>
      <x:c r="X45" s="13" t="str">
        <x:v>https://www.somesevit.co.kr/</x:v>
      </x:c>
      <x:c r="Y45" s="13" t="str">
        <x:v>https://english.visitseoul.net/attractions/Sebitseom_/24646</x:v>
      </x:c>
      <x:c r="Z45" s="13" t="str">
        <x:v>세빛섬/서울관광재단</x:v>
      </x:c>
      <x:c r="AA45" s="13" t="str">
        <x:v>2026-09-21</x:v>
      </x:c>
      <x:c r="AB45" s="13" t="str">
        <x:v>high</x:v>
      </x:c>
      <x:c r="AC45" s="13" t="str">
        <x:v>A</x:v>
      </x:c>
      <x:c r="AD45" s="13" t="str">
        <x:v>needs_geocoding</x:v>
      </x:c>
    </x:row>
    <x:row r="46">
      <x:c r="A46" s="13" t="str">
        <x:v>SEOUL045</x:v>
      </x:c>
      <x:c r="B46" s="13" t="str">
        <x:v>반포대교 달빛무지개분수</x:v>
      </x:c>
      <x:c r="C46" s="13" t="str">
        <x:v>Banpo Bridge Moonlight Rainbow Fountain</x:v>
      </x:c>
      <x:c r="D46" s="13" t="str">
        <x:v>Light Art</x:v>
      </x:c>
      <x:c r="E46" s="13" t="str">
        <x:v>Water Art; Nightscape</x:v>
      </x:c>
      <x:c r="F46" s="13" t="str">
        <x:v>한강 다리 전체에서 물과 조명이 함께 움직이는 대형 야간 경관.</x:v>
      </x:c>
      <x:c r="G46" s="13" t="str">
        <x:v>반포대교 양측에서 분수와 조명이 음악·시간표에 맞춰 운영되는 대표 한강 야간 콘텐츠다.</x:v>
      </x:c>
      <x:c r="H46" s="13" t="str">
        <x:v>교량 인프라, 물, 조명, 도시 스카이라인이 함께 작동해 고정된 건축물이 동적인 빛의 장면으로 바뀐다.</x:v>
      </x:c>
      <x:c r="I46" s="13" t="str">
        <x:v>무료·대중적·사진 친화적이라 일반인 유입형 큐레이션의 핵심.</x:v>
      </x:c>
      <x:c r="J46" s="13" t="str">
        <x:v>서울특별시 서초구 신반포로11길 40 반포한강공원 일대</x:v>
      </x:c>
      <x:c r="K46" s="13" t="str">
        <x:v>서초구</x:v>
      </x:c>
      <x:c r="L46" s="13"/>
      <x:c r="M46" s="13"/>
      <x:c r="N46" s="29" t="b">
        <x:v>0</x:v>
      </x:c>
      <x:c r="O46" s="29" t="b">
        <x:v>1</x:v>
      </x:c>
      <x:c r="P46" s="29" t="b">
        <x:v>0</x:v>
      </x:c>
      <x:c r="Q46" s="13" t="str">
        <x:v>seasonal</x:v>
      </x:c>
      <x:c r="R46" s="13" t="str">
        <x:v>seasonal_show</x:v>
      </x:c>
      <x:c r="S46" s="13" t="str">
        <x:v>달빛무지개분수 시즌 운영</x:v>
      </x:c>
      <x:c r="T46" s="13" t="str">
        <x:v>2026</x:v>
      </x:c>
      <x:c r="U46" s="13" t="str"/>
      <x:c r="V46" s="13" t="str">
        <x:v>운영기간·회차는 공식 일정 확인</x:v>
      </x:c>
      <x:c r="W46" s="13" t="str">
        <x:v>해질 무렵 이후</x:v>
      </x:c>
      <x:c r="X46" s="13" t="str">
        <x:v>https://www.seocho.go.kr/site/seocho/04/10404021300002015070703.jsp</x:v>
      </x:c>
      <x:c r="Y46" s="13" t="str">
        <x:v>https://www.seocho.go.kr/site/seocho/04/10404021300002015070703.jsp</x:v>
      </x:c>
      <x:c r="Z46" s="13" t="str">
        <x:v>서초구청</x:v>
      </x:c>
      <x:c r="AA46" s="13" t="str">
        <x:v>2026-09-21</x:v>
      </x:c>
      <x:c r="AB46" s="13" t="str">
        <x:v>high</x:v>
      </x:c>
      <x:c r="AC46" s="13" t="str">
        <x:v>A</x:v>
      </x:c>
      <x:c r="AD46" s="13" t="str">
        <x:v>needs_geocoding</x:v>
      </x:c>
    </x:row>
    <x:row r="47">
      <x:c r="A47" s="13" t="str">
        <x:v>SEOUL046</x:v>
      </x:c>
      <x:c r="B47" s="13" t="str">
        <x:v>서울로7017 야간조명</x:v>
      </x:c>
      <x:c r="C47" s="13" t="str">
        <x:v>Seoullo 7017 Night Lighting</x:v>
      </x:c>
      <x:c r="D47" s="13" t="str">
        <x:v>Light Art</x:v>
      </x:c>
      <x:c r="E47" s="13" t="str">
        <x:v>Architecture; Nightscape; Landscape</x:v>
      </x:c>
      <x:c r="F47" s="13" t="str">
        <x:v>고가 보행길의 화분과 원형 조명이 밤의 산책로를 만드는 도시재생 경관.</x:v>
      </x:c>
      <x:c r="G47" s="13" t="str">
        <x:v>서울역 고가도로를 보행공원으로 재생한 공간으로 야간에는 다수의 조명 요소가 보행 동선을 강조한다.</x:v>
      </x:c>
      <x:c r="H47" s="13" t="str">
        <x:v>교통 인프라를 사람 중심 공공공간으로 전환하면서 조명을 장소 정체성과 안전·경관을 만드는 도구로 사용했다.</x:v>
      </x:c>
      <x:c r="I47" s="13" t="str">
        <x:v>서울역 빛 코스에서 미디어파사드와 조명건축을 연결하는 보행축.</x:v>
      </x:c>
      <x:c r="J47" s="13" t="str">
        <x:v>서울특별시 중구 청파로 432 일대</x:v>
      </x:c>
      <x:c r="K47" s="13" t="str">
        <x:v>중구</x:v>
      </x:c>
      <x:c r="L47" s="13"/>
      <x:c r="M47" s="13"/>
      <x:c r="N47" s="29" t="b">
        <x:v>0</x:v>
      </x:c>
      <x:c r="O47" s="29" t="b">
        <x:v>1</x:v>
      </x:c>
      <x:c r="P47" s="29" t="b">
        <x:v>1</x:v>
      </x:c>
      <x:c r="Q47" s="13" t="str">
        <x:v>active</x:v>
      </x:c>
      <x:c r="R47" s="13" t="str">
        <x:v>architectural_lighting</x:v>
      </x:c>
      <x:c r="S47" s="13" t="str">
        <x:v>상설 야간조명</x:v>
      </x:c>
      <x:c r="T47" s="13" t="str"/>
      <x:c r="U47" s="13" t="str"/>
      <x:c r="V47" s="13" t="str">
        <x:v>24시간 개방, 조명은 야간</x:v>
      </x:c>
      <x:c r="W47" s="13" t="str">
        <x:v>일몰 후</x:v>
      </x:c>
      <x:c r="X47" s="13" t="str">
        <x:v>https://english.seoul.go.kr/seoullo-7017-2/</x:v>
      </x:c>
      <x:c r="Y47" s="13" t="str">
        <x:v>https://english.seoul.go.kr/seoullo-7017-2/</x:v>
      </x:c>
      <x:c r="Z47" s="13" t="str">
        <x:v>서울특별시</x:v>
      </x:c>
      <x:c r="AA47" s="13" t="str">
        <x:v>2026-09-21</x:v>
      </x:c>
      <x:c r="AB47" s="13" t="str">
        <x:v>high</x:v>
      </x:c>
      <x:c r="AC47" s="13" t="str">
        <x:v>B</x:v>
      </x:c>
      <x:c r="AD47" s="13" t="str">
        <x:v>needs_geocoding</x:v>
      </x:c>
    </x:row>
    <x:row r="48">
      <x:c r="A48" s="13" t="str">
        <x:v>SEOUL047</x:v>
      </x:c>
      <x:c r="B48" s="13" t="str">
        <x:v>홍제유연</x:v>
      </x:c>
      <x:c r="C48" s="13" t="str">
        <x:v>Hongje Yuyeon</x:v>
      </x:c>
      <x:c r="D48" s="13" t="str">
        <x:v>Light Art</x:v>
      </x:c>
      <x:c r="E48" s="13" t="str">
        <x:v>Media Art; Public Art; Sound Art</x:v>
      </x:c>
      <x:c r="F48" s="13" t="str">
        <x:v>유진상가 아래 50년간 가려졌던 하천 공간을 빛·소리·미디어로 바꾼 공공미술.</x:v>
      </x:c>
      <x:c r="G48" s="13" t="str">
        <x:v>홍제천 유진상가 하부의 어두운 공간을 설치·조명·미디어·사운드 작품이 있는 ‘빛의 미술관’으로 재생한 프로젝트다.</x:v>
      </x:c>
      <x:c r="H48" s="13" t="str">
        <x:v>건축·토목 구조가 만든 음영 공간을 예술로 활성화해 장소 회복과 야간 경험을 동시에 만든 사례다.</x:v>
      </x:c>
      <x:c r="I48" s="13" t="str">
        <x:v>‘빛으로 버려진 공간을 다시 쓰는 건축’이라는 강한 이야기 구조.</x:v>
      </x:c>
      <x:c r="J48" s="13" t="str">
        <x:v>서울특별시 서대문구 홍제천 유진상가 하부</x:v>
      </x:c>
      <x:c r="K48" s="13" t="str">
        <x:v>서대문구</x:v>
      </x:c>
      <x:c r="L48" s="13"/>
      <x:c r="M48" s="13"/>
      <x:c r="N48" s="29" t="b">
        <x:v>0</x:v>
      </x:c>
      <x:c r="O48" s="29" t="b">
        <x:v>1</x:v>
      </x:c>
      <x:c r="P48" s="29" t="b">
        <x:v>1</x:v>
      </x:c>
      <x:c r="Q48" s="13" t="str">
        <x:v>active_or_verify</x:v>
      </x:c>
      <x:c r="R48" s="13" t="str">
        <x:v>public_art</x:v>
      </x:c>
      <x:c r="S48" s="13" t="str">
        <x:v>빛·사운드·미디어 설치작품 상설군</x:v>
      </x:c>
      <x:c r="T48" s="13" t="str"/>
      <x:c r="U48" s="13" t="str"/>
      <x:c r="V48" s="13" t="str">
        <x:v>현장 개방·정비상태 확인 권장</x:v>
      </x:c>
      <x:c r="W48" s="13" t="str">
        <x:v>낮~저녁</x:v>
      </x:c>
      <x:c r="X48" s="13" t="str">
        <x:v>https://mediahub.seoul.go.kr/archives/1503267</x:v>
      </x:c>
      <x:c r="Y48" s="13" t="str">
        <x:v>https://mediahub.seoul.go.kr/archives/1503267</x:v>
      </x:c>
      <x:c r="Z48" s="13" t="str">
        <x:v>서울특별시</x:v>
      </x:c>
      <x:c r="AA48" s="13" t="str">
        <x:v>2026-09-21</x:v>
      </x:c>
      <x:c r="AB48" s="13" t="str">
        <x:v>medium</x:v>
      </x:c>
      <x:c r="AC48" s="13" t="str">
        <x:v>A</x:v>
      </x:c>
      <x:c r="AD48" s="13" t="str">
        <x:v>needs_geocoding</x:v>
      </x:c>
    </x:row>
    <x:row r="49">
      <x:c r="A49" s="13" t="str">
        <x:v>SEOUL048</x:v>
      </x:c>
      <x:c r="B49" s="13" t="str">
        <x:v>별마당도서관</x:v>
      </x:c>
      <x:c r="C49" s="13" t="str">
        <x:v>Starfield Library</x:v>
      </x:c>
      <x:c r="D49" s="13" t="str">
        <x:v>Architecture</x:v>
      </x:c>
      <x:c r="E49" s="13" t="str">
        <x:v>Light Architecture; Interior; Media</x:v>
      </x:c>
      <x:c r="F49" s="13" t="str">
        <x:v>거대한 서가와 자연광·인공조명이 만드는 실내 건축 경험.</x:v>
      </x:c>
      <x:c r="G49" s="13" t="str">
        <x:v>코엑스몰 중앙의 개방형 도서문화공간으로 높이 솟은 서가와 공간 조명이 랜드마크 이미지를 형성한다.</x:v>
      </x:c>
      <x:c r="H49" s="13" t="str">
        <x:v>미디어아트 공간은 아니지만 빛, 스케일, 재료, 공공성이 결합된 실내 ‘빛의 건축’ 사례로 카테고리 확장성을 검증할 수 있다.</x:v>
      </x:c>
      <x:c r="I49" s="13" t="str">
        <x:v>일반인 인지도가 높아 전문적 건축 해설 콘텐츠의 진입점으로 적합.</x:v>
      </x:c>
      <x:c r="J49" s="13" t="str">
        <x:v>서울특별시 강남구 영동대로 513 스타필드 코엑스몰 B1</x:v>
      </x:c>
      <x:c r="K49" s="13" t="str">
        <x:v>강남구</x:v>
      </x:c>
      <x:c r="L49" s="13"/>
      <x:c r="M49" s="13"/>
      <x:c r="N49" s="29" t="b">
        <x:v>1</x:v>
      </x:c>
      <x:c r="O49" s="29" t="b">
        <x:v>1</x:v>
      </x:c>
      <x:c r="P49" s="29" t="b">
        <x:v>1</x:v>
      </x:c>
      <x:c r="Q49" s="13" t="str">
        <x:v>active</x:v>
      </x:c>
      <x:c r="R49" s="13" t="str">
        <x:v>permanent_space</x:v>
      </x:c>
      <x:c r="S49" s="13" t="str">
        <x:v>상설 공간</x:v>
      </x:c>
      <x:c r="T49" s="13" t="str"/>
      <x:c r="U49" s="13" t="str"/>
      <x:c r="V49" s="13" t="str">
        <x:v>시설 운영시간 기준</x:v>
      </x:c>
      <x:c r="W49" s="13" t="str">
        <x:v>낮~저녁</x:v>
      </x:c>
      <x:c r="X49" s="13" t="str">
        <x:v>https://www.starfield.co.kr/coexmall/starfieldLibrary</x:v>
      </x:c>
      <x:c r="Y49" s="13" t="str">
        <x:v>https://english.seoul.go.kr/starfield-library-coex/</x:v>
      </x:c>
      <x:c r="Z49" s="13" t="str">
        <x:v>서울특별시/스타필드</x:v>
      </x:c>
      <x:c r="AA49" s="13" t="str">
        <x:v>2026-09-21</x:v>
      </x:c>
      <x:c r="AB49" s="13" t="str">
        <x:v>high</x:v>
      </x:c>
      <x:c r="AC49" s="13" t="str">
        <x:v>B</x:v>
      </x:c>
      <x:c r="AD49" s="13" t="str">
        <x:v>needs_geocoding</x:v>
      </x:c>
    </x:row>
    <x:row r="50">
      <x:c r="A50" s="13" t="str">
        <x:v>SEOUL049</x:v>
      </x:c>
      <x:c r="B50" s="13" t="str">
        <x:v>서울웨이브 아트센터</x:v>
      </x:c>
      <x:c r="C50" s="13" t="str">
        <x:v>Seoul Wave Art Center</x:v>
      </x:c>
      <x:c r="D50" s="13" t="str">
        <x:v>Architecture</x:v>
      </x:c>
      <x:c r="E50" s="13" t="str">
        <x:v>Light Architecture; Han River; Exhibition</x:v>
      </x:c>
      <x:c r="F50" s="13" t="str">
        <x:v>한강 위에 떠 있는 듯한 유리 건축과 야간 빛이 결합된 문화공간.</x:v>
      </x:c>
      <x:c r="G50" s="13" t="str">
        <x:v>잠원한강공원 수상 인근의 복합문화·전시 공간으로 투명한 외피와 한강 경관이 특징이다.</x:v>
      </x:c>
      <x:c r="H50" s="13" t="str">
        <x:v>유리 외피의 투명성과 수면 반사가 낮과 밤에 서로 다른 건축 경험을 만든다.</x:v>
      </x:c>
      <x:c r="I50" s="13" t="str">
        <x:v>미디어아트 전시가 없더라도 ‘빛과 공간’ 자체를 감상하는 Architecture 카테고리 테스트에 적합.</x:v>
      </x:c>
      <x:c r="J50" s="13" t="str">
        <x:v>서울특별시 서초구 잠원로 145-35</x:v>
      </x:c>
      <x:c r="K50" s="13" t="str">
        <x:v>서초구</x:v>
      </x:c>
      <x:c r="L50" s="13"/>
      <x:c r="M50" s="13"/>
      <x:c r="N50" s="29" t="b">
        <x:v>1</x:v>
      </x:c>
      <x:c r="O50" s="29" t="b">
        <x:v>0</x:v>
      </x:c>
      <x:c r="P50" s="29" t="b">
        <x:v>1</x:v>
      </x:c>
      <x:c r="Q50" s="13" t="str">
        <x:v>active_rotation</x:v>
      </x:c>
      <x:c r="R50" s="13" t="str">
        <x:v>event_and_exhibition</x:v>
      </x:c>
      <x:c r="S50" s="13" t="str">
        <x:v>전시·행사 순환</x:v>
      </x:c>
      <x:c r="T50" s="13" t="str"/>
      <x:c r="U50" s="13" t="str"/>
      <x:c r="V50" s="13" t="str">
        <x:v>행사별 상이</x:v>
      </x:c>
      <x:c r="W50" s="13" t="str">
        <x:v>해질 무렵</x:v>
      </x:c>
      <x:c r="X50" s="13" t="str">
        <x:v>https://www.seoulwave.co.kr/</x:v>
      </x:c>
      <x:c r="Y50" s="13" t="str">
        <x:v>https://english.visitkorea.or.kr/</x:v>
      </x:c>
      <x:c r="Z50" s="13" t="str">
        <x:v>서울웨이브/한국관광공사</x:v>
      </x:c>
      <x:c r="AA50" s="13" t="str">
        <x:v>2026-09-21</x:v>
      </x:c>
      <x:c r="AB50" s="13" t="str">
        <x:v>medium</x:v>
      </x:c>
      <x:c r="AC50" s="13" t="str">
        <x:v>C</x:v>
      </x:c>
      <x:c r="AD50" s="13" t="str">
        <x:v>needs_geocoding</x:v>
      </x:c>
    </x:row>
    <x:row r="51">
      <x:c r="A51" s="13" t="str">
        <x:v>SEOUL050</x:v>
      </x:c>
      <x:c r="B51" s="13" t="str">
        <x:v>노원 불빛정원(화랑대 철도공원)</x:v>
      </x:c>
      <x:c r="C51" s="13" t="str">
        <x:v>Nowon Light Garden</x:v>
      </x:c>
      <x:c r="D51" s="13" t="str">
        <x:v>Light Art</x:v>
      </x:c>
      <x:c r="E51" s="13" t="str">
        <x:v>Media Facade; Interactive; Landscape</x:v>
      </x:c>
      <x:c r="F51" s="13" t="str">
        <x:v>옛 철도공원이 미디어트레인·미디어파사드·조명정원으로 변하는 무료 야간공간.</x:v>
      </x:c>
      <x:c r="G51" s="13" t="str">
        <x:v>화랑대 철도공원에 조성된 야간 경관 콘텐츠로 불빛터널, 정원, 미디어트레인, 미디어파사드 등을 운영한다.</x:v>
      </x:c>
      <x:c r="H51" s="13" t="str">
        <x:v>산업·교통 유산과 조명, 인터랙티브 미디어를 결합해 지역 공원을 목적형 야간관광지로 전환한 사례다.</x:v>
      </x:c>
      <x:c r="I51" s="13" t="str">
        <x:v>도심 중심부 밖에서도 일반인이 찾아갈 이유가 있는 강한 ‘빛 여행’ 콘텐츠.</x:v>
      </x:c>
      <x:c r="J51" s="13" t="str">
        <x:v>서울특별시 노원구 화랑로 608 일대</x:v>
      </x:c>
      <x:c r="K51" s="13" t="str">
        <x:v>노원구</x:v>
      </x:c>
      <x:c r="L51" s="13"/>
      <x:c r="M51" s="13"/>
      <x:c r="N51" s="29" t="b">
        <x:v>0</x:v>
      </x:c>
      <x:c r="O51" s="29" t="b">
        <x:v>1</x:v>
      </x:c>
      <x:c r="P51" s="29" t="b">
        <x:v>1</x:v>
      </x:c>
      <x:c r="Q51" s="13" t="str">
        <x:v>active</x:v>
      </x:c>
      <x:c r="R51" s="13" t="str">
        <x:v>night_light_garden</x:v>
      </x:c>
      <x:c r="S51" s="13" t="str">
        <x:v>노원 불빛정원 상설 야간 운영</x:v>
      </x:c>
      <x:c r="T51" s="13" t="str"/>
      <x:c r="U51" s="13" t="str"/>
      <x:c r="V51" s="13" t="str">
        <x:v>연중(월요일 휴무), 일몰 30분 전~22:00</x:v>
      </x:c>
      <x:c r="W51" s="13" t="str">
        <x:v>일몰 후</x:v>
      </x:c>
      <x:c r="X51" s="13" t="str">
        <x:v>https://www.nowon.kr/</x:v>
      </x:c>
      <x:c r="Y51" s="13" t="str">
        <x:v>https://ebook.nowon.kr/src/viewer/main.php?category=1&amp;host=main&amp;page=246&amp;search=ci&amp;site=20250314_150345</x:v>
      </x:c>
      <x:c r="Z51" s="13" t="str">
        <x:v>노원구</x:v>
      </x:c>
      <x:c r="AA51" s="13" t="str">
        <x:v>2026-09-21</x:v>
      </x:c>
      <x:c r="AB51" s="13" t="str">
        <x:v>high</x:v>
      </x:c>
      <x:c r="AC51" s="13" t="str">
        <x:v>A</x:v>
      </x:c>
      <x:c r="AD51" s="13" t="str">
        <x:v>needs_geocoding</x:v>
      </x:c>
    </x:row>
  </x:sheetData>
  <x:conditionalFormatting sqref="AC2:AC51">
    <x:cfRule type="expression" dxfId="0" priority="1">
      <x:formula>AC2="A"</x:formula>
    </x:cfRule>
    <x:cfRule type="expression" dxfId="1" priority="2">
      <x:formula>AC2="B"</x:formula>
    </x:cfRule>
    <x:cfRule type="expression" dxfId="2" priority="3">
      <x:formula>AC2="C"</x:formula>
    </x:cfRule>
  </x:conditionalFormatting>
  <x:dataValidations count="3">
    <x:dataValidation type="list" sqref="AB2:AB51">
      <x:formula1>"high,medium,low"</x:formula1>
    </x:dataValidation>
    <x:dataValidation type="list" sqref="AC2:AC51">
      <x:formula1>"A,B,C"</x:formula1>
    </x:dataValidation>
    <x:dataValidation type="list" sqref="Q2:Q51">
      <x:formula1>"active,active_rotation,active_display,active_event,seasonal,verify_schedule,verify_current_program,between_exhibitions,active_or_verify,upcoming"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3e04625f034f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26" hidden="0" customWidth="1"/>
    <x:col min="5" max="5" width="22" hidden="0" customWidth="1"/>
    <x:col min="6" max="6" width="10" hidden="0" customWidth="1"/>
    <x:col min="7" max="7" width="28" hidden="0" customWidth="1"/>
    <x:col min="8" max="8" width="14" hidden="0" customWidth="1"/>
    <x:col min="9" max="9" width="14" hidden="0" customWidth="1"/>
    <x:col min="10" max="10" width="55" hidden="0" customWidth="1"/>
    <x:col min="11" max="11" width="60" hidden="0" customWidth="1"/>
  </x:cols>
  <x:sheetData>
    <x:row r="1">
      <x:c r="A1" s="28" t="str">
        <x:v>work_id</x:v>
      </x:c>
      <x:c r="B1" s="28" t="str">
        <x:v>place_id</x:v>
      </x:c>
      <x:c r="C1" s="28" t="str">
        <x:v>title</x:v>
      </x:c>
      <x:c r="D1" s="28" t="str">
        <x:v>artist</x:v>
      </x:c>
      <x:c r="E1" s="28" t="str">
        <x:v>studio</x:v>
      </x:c>
      <x:c r="F1" s="28" t="str">
        <x:v>year</x:v>
      </x:c>
      <x:c r="G1" s="28" t="str">
        <x:v>media</x:v>
      </x:c>
      <x:c r="H1" s="28" t="str">
        <x:v>start_date</x:v>
      </x:c>
      <x:c r="I1" s="28" t="str">
        <x:v>end_date</x:v>
      </x:c>
      <x:c r="J1" s="28" t="str">
        <x:v>description</x:v>
      </x:c>
      <x:c r="K1" s="28" t="str">
        <x:v>official_url</x:v>
      </x:c>
    </x:row>
    <x:row r="2">
      <x:c r="A2" s="13" t="str">
        <x:v>WORK001</x:v>
      </x:c>
      <x:c r="B2" s="13" t="str">
        <x:v>SEOUL002</x:v>
      </x:c>
      <x:c r="C2" s="13" t="str">
        <x:v>물드는 빛</x:v>
      </x:c>
      <x:c r="D2" s="13" t="str">
        <x:v>한승구; 홍나겸</x:v>
      </x:c>
      <x:c r="E2" s="13" t="str"/>
      <x:c r="F2" s="13" t="str">
        <x:v>2026</x:v>
      </x:c>
      <x:c r="G2" s="13" t="str">
        <x:v>Media facade</x:v>
      </x:c>
      <x:c r="H2" s="13" t="str">
        <x:v>2026-09-01</x:v>
      </x:c>
      <x:c r="I2" s="13" t="str">
        <x:v>2026-11-30</x:v>
      </x:c>
      <x:c r="J2" s="13" t="str">
        <x:v>세종문화회관 외벽에 송출되는 2026 아뜰리에 광화 세 번째 전시.</x:v>
      </x:c>
      <x:c r="K2" s="13" t="str">
        <x:v>https://news.seoul.go.kr/culture/archives/category/cityscape-news_c1/media-art-seoul_c1/mediart-exhibit-platform-n1</x:v>
      </x:c>
    </x:row>
    <x:row r="3">
      <x:c r="A3" s="13" t="str">
        <x:v>WORK002</x:v>
      </x:c>
      <x:c r="B3" s="13" t="str">
        <x:v>SEOUL003</x:v>
      </x:c>
      <x:c r="C3" s="13" t="str">
        <x:v>순간의 흔적</x:v>
      </x:c>
      <x:c r="D3" s="13" t="str">
        <x:v>복수 작가</x:v>
      </x:c>
      <x:c r="E3" s="13" t="str"/>
      <x:c r="F3" s="13" t="str">
        <x:v>2026</x:v>
      </x:c>
      <x:c r="G3" s="13" t="str">
        <x:v>Media wall</x:v>
      </x:c>
      <x:c r="H3" s="13" t="str">
        <x:v>2026-09-01</x:v>
      </x:c>
      <x:c r="I3" s="13" t="str">
        <x:v>2026-11-30</x:v>
      </x:c>
      <x:c r="J3" s="13" t="str">
        <x:v>해치마당 미디어월 2026 세 번째 전시.</x:v>
      </x:c>
      <x:c r="K3" s="13" t="str">
        <x:v>https://news.seoul.go.kr/culture/archives/category/cityscape-news_c1/media-art-seoul_c1/mediart-exhibit-platform-n1</x:v>
      </x:c>
    </x:row>
    <x:row r="4">
      <x:c r="A4" s="13" t="str">
        <x:v>WORK003</x:v>
      </x:c>
      <x:c r="B4" s="13" t="str">
        <x:v>SEOUL005</x:v>
      </x:c>
      <x:c r="C4" s="13" t="str">
        <x:v>2026 서울로미디어캔버스 세 번째 전시</x:v>
      </x:c>
      <x:c r="D4" s="13" t="str">
        <x:v>신진예술가 20팀; 네이처 프로젝트 4팀</x:v>
      </x:c>
      <x:c r="E4" s="13" t="str"/>
      <x:c r="F4" s="13" t="str">
        <x:v>2026</x:v>
      </x:c>
      <x:c r="G4" s="13" t="str">
        <x:v>Media screen</x:v>
      </x:c>
      <x:c r="H4" s="13" t="str">
        <x:v>2026-09-21</x:v>
      </x:c>
      <x:c r="I4" s="13" t="str">
        <x:v>2026-11-30</x:v>
      </x:c>
      <x:c r="J4" s="13" t="str">
        <x:v>신진예술가 지원공모전 20작품과 네이처 프로젝트 4작품.</x:v>
      </x:c>
      <x:c r="K4" s="13" t="str">
        <x:v>https://news.seoul.go.kr/culture/archives/category/cityscape-news_c1/media-art-seoul_c1/mediart-exhibit-platform-n1</x:v>
      </x:c>
    </x:row>
    <x:row r="5">
      <x:c r="A5" s="13" t="str">
        <x:v>WORK004</x:v>
      </x:c>
      <x:c r="B5" s="13" t="str">
        <x:v>SEOUL007</x:v>
      </x:c>
      <x:c r="C5" s="13" t="str">
        <x:v>WAVE</x:v>
      </x:c>
      <x:c r="D5" s="13" t="str">
        <x:v>d'strict</x:v>
      </x:c>
      <x:c r="E5" s="13" t="str">
        <x:v>d'strict</x:v>
      </x:c>
      <x:c r="F5" s="13" t="str">
        <x:v>2020</x:v>
      </x:c>
      <x:c r="G5" s="13" t="str">
        <x:v>Anamorphic LED media art</x:v>
      </x:c>
      <x:c r="H5" s="13" t="str"/>
      <x:c r="I5" s="13" t="str"/>
      <x:c r="J5" s="13" t="str">
        <x:v>코엑스 K-POP 스퀘어의 대표 아나몰픽 미디어아트.</x:v>
      </x:c>
      <x:c r="K5" s="13" t="str">
        <x:v>https://english.visitseoul.net/area/COEXK-POPSquare/ENPnj8f9x</x:v>
      </x:c>
    </x:row>
    <x:row r="6">
      <x:c r="A6" s="13" t="str">
        <x:v>WORK005</x:v>
      </x:c>
      <x:c r="B6" s="13" t="str">
        <x:v>SEOUL016</x:v>
      </x:c>
      <x:c r="C6" s="13" t="str">
        <x:v>SEOUL RAIM: ROBOT CITY</x:v>
      </x:c>
      <x:c r="D6" s="13" t="str"/>
      <x:c r="E6" s="13" t="str"/>
      <x:c r="F6" s="13" t="str">
        <x:v>2026</x:v>
      </x:c>
      <x:c r="G6" s="13" t="str">
        <x:v>Media facade</x:v>
      </x:c>
      <x:c r="H6" s="13" t="str">
        <x:v>2026-08-28</x:v>
      </x:c>
      <x:c r="I6" s="13" t="str">
        <x:v>2026-12-05</x:v>
      </x:c>
      <x:c r="J6" s="13" t="str">
        <x:v>서울RAIM 외부 미디어파사드 프로그램.</x:v>
      </x:c>
      <x:c r="K6" s="13" t="str">
        <x:v>https://science.seoul.go.kr/RAIM/index.do</x:v>
      </x:c>
    </x:row>
    <x:row r="7">
      <x:c r="A7" s="13" t="str">
        <x:v>WORK006</x:v>
      </x:c>
      <x:c r="B7" s="13" t="str">
        <x:v>SEOUL021</x:v>
      </x:c>
      <x:c r="C7" s="13" t="str">
        <x:v>청계 소울 오션</x:v>
      </x:c>
      <x:c r="D7" s="13" t="str"/>
      <x:c r="E7" s="13" t="str"/>
      <x:c r="F7" s="13" t="str">
        <x:v>2026</x:v>
      </x:c>
      <x:c r="G7" s="13" t="str">
        <x:v>Projection; Interactive</x:v>
      </x:c>
      <x:c r="H7" s="13" t="str">
        <x:v>2026-05-15</x:v>
      </x:c>
      <x:c r="I7" s="13" t="str">
        <x:v>2026-12-31</x:v>
      </x:c>
      <x:c r="J7" s="13" t="str">
        <x:v>청계천 수변 장기 미디어아트 전시.</x:v>
      </x:c>
      <x:c r="K7" s="13" t="str">
        <x:v>https://english.visitseoul.net/exhibition/CheonggyeSoulOcean/ENP20kefn</x:v>
      </x:c>
    </x:row>
    <x:row r="8">
      <x:c r="A8" s="13" t="str">
        <x:v>WORK007</x:v>
      </x:c>
      <x:c r="B8" s="13" t="str">
        <x:v>SEOUL022</x:v>
      </x:c>
      <x:c r="C8" s="13" t="str">
        <x:v>디지털 실감 영상관 1: 파노라마 한국문화</x:v>
      </x:c>
      <x:c r="D8" s="13" t="str">
        <x:v>국립중앙박물관</x:v>
      </x:c>
      <x:c r="E8" s="13" t="str"/>
      <x:c r="F8" s="13" t="str"/>
      <x:c r="G8" s="13" t="str">
        <x:v>Panoramic projection</x:v>
      </x:c>
      <x:c r="H8" s="13" t="str"/>
      <x:c r="I8" s="13" t="str"/>
      <x:c r="J8" s="13" t="str">
        <x:v>폭 60m·높이 5m 파노라마 스크린 기반 상설 콘텐츠.</x:v>
      </x:c>
      <x:c r="K8" s="13" t="str">
        <x:v>https://www.museum.go.kr/ENG/contents/E0203020000.do</x:v>
      </x:c>
    </x:row>
    <x:row r="9">
      <x:c r="A9" s="13" t="str">
        <x:v>WORK008</x:v>
      </x:c>
      <x:c r="B9" s="13" t="str">
        <x:v>SEOUL024</x:v>
      </x:c>
      <x:c r="C9" s="13" t="str">
        <x:v>김희천: 두더지들</x:v>
      </x:c>
      <x:c r="D9" s="13" t="str">
        <x:v>김희천</x:v>
      </x:c>
      <x:c r="E9" s="13" t="str"/>
      <x:c r="F9" s="13" t="str">
        <x:v>2026</x:v>
      </x:c>
      <x:c r="G9" s="13" t="str">
        <x:v>New media exhibition</x:v>
      </x:c>
      <x:c r="H9" s="13" t="str">
        <x:v>2026-08-20</x:v>
      </x:c>
      <x:c r="I9" s="13" t="str">
        <x:v>2026-11-08</x:v>
      </x:c>
      <x:c r="J9" s="13" t="str">
        <x:v>서서울미술관 미디어 작가전.</x:v>
      </x:c>
      <x:c r="K9" s="13" t="str">
        <x:v>https://sema.seoul.go.kr/</x:v>
      </x:c>
    </x:row>
    <x:row r="10">
      <x:c r="A10" s="13" t="str">
        <x:v>WORK009</x:v>
      </x:c>
      <x:c r="B10" s="13" t="str">
        <x:v>SEOUL025</x:v>
      </x:c>
      <x:c r="C10" s="13" t="str">
        <x:v>완고한 바위, 무모한 싸움들</x:v>
      </x:c>
      <x:c r="D10" s="13" t="str">
        <x:v>김 크리스틴 선</x:v>
      </x:c>
      <x:c r="E10" s="13" t="str"/>
      <x:c r="F10" s="13" t="str">
        <x:v>2026</x:v>
      </x:c>
      <x:c r="G10" s="13" t="str">
        <x:v>OLED digital animation; mural; sound</x:v>
      </x:c>
      <x:c r="H10" s="13" t="str">
        <x:v>2026-07-31</x:v>
      </x:c>
      <x:c r="I10" s="13" t="str">
        <x:v>2026-11-29</x:v>
      </x:c>
      <x:c r="J10" s="13" t="str">
        <x:v>MMCA×LG OLED 시리즈 2026.</x:v>
      </x:c>
      <x:c r="K10" s="13" t="str">
        <x:v>https://www.mmca.go.kr/exhibitions/exhibitionsDetail.do?exhFlag=2&amp;exhId=202601060002028</x:v>
      </x:c>
    </x:row>
    <x:row r="11">
      <x:c r="A11" s="13" t="str">
        <x:v>WORK010</x:v>
      </x:c>
      <x:c r="B11" s="13" t="str">
        <x:v>SEOUL034</x:v>
      </x:c>
      <x:c r="C11" s="13" t="str">
        <x:v>We Are Martin Parr</x:v>
      </x:c>
      <x:c r="D11" s="13" t="str">
        <x:v>Martin Parr</x:v>
      </x:c>
      <x:c r="E11" s="13" t="str"/>
      <x:c r="F11" s="13" t="str">
        <x:v>2026</x:v>
      </x:c>
      <x:c r="G11" s="13" t="str">
        <x:v>Photography; installation</x:v>
      </x:c>
      <x:c r="H11" s="13" t="str">
        <x:v>2026-07-16</x:v>
      </x:c>
      <x:c r="I11" s="13" t="str">
        <x:v>2026-10-18</x:v>
      </x:c>
      <x:c r="J11" s="13" t="str">
        <x:v>서울시립 사진미술관 2026 전시.</x:v>
      </x:c>
      <x:c r="K11" s="13" t="str">
        <x:v>https://sema.seoul.go.kr/</x:v>
      </x:c>
    </x:row>
    <x:row r="12">
      <x:c r="A12" s="13" t="str">
        <x:v>WORK011</x:v>
      </x:c>
      <x:c r="B12" s="13" t="str">
        <x:v>SEOUL035</x:v>
      </x:c>
      <x:c r="C12" s="13" t="str">
        <x:v>기술의 저변: 경계에 선 장면들</x:v>
      </x:c>
      <x:c r="D12" s="13" t="str">
        <x:v>복수 작가</x:v>
      </x:c>
      <x:c r="E12" s="13" t="str"/>
      <x:c r="F12" s="13" t="str">
        <x:v>2026</x:v>
      </x:c>
      <x:c r="G12" s="13" t="str">
        <x:v>Technology-based contemporary art</x:v>
      </x:c>
      <x:c r="H12" s="13" t="str">
        <x:v>2026-04-16</x:v>
      </x:c>
      <x:c r="I12" s="13" t="str">
        <x:v>2026-11-22</x:v>
      </x:c>
      <x:c r="J12" s="13" t="str">
        <x:v>서소문본관 2026 전시.</x:v>
      </x:c>
      <x:c r="K12" s="13" t="str">
        <x:v>https://sema.seoul.go.kr/kr/whatson/landing?whenType=NEXT_WEEK</x:v>
      </x:c>
    </x:row>
    <x:row r="13">
      <x:c r="A13" s="13" t="str">
        <x:v>WORK012</x:v>
      </x:c>
      <x:c r="B13" s="13" t="str">
        <x:v>SEOUL036</x:v>
      </x:c>
      <x:c r="C13" s="13" t="str">
        <x:v>권병준: 내 마음속에 너는</x:v>
      </x:c>
      <x:c r="D13" s="13" t="str">
        <x:v>권병준</x:v>
      </x:c>
      <x:c r="E13" s="13" t="str"/>
      <x:c r="F13" s="13" t="str">
        <x:v>2026</x:v>
      </x:c>
      <x:c r="G13" s="13" t="str">
        <x:v>Sound; installation; technology art</x:v>
      </x:c>
      <x:c r="H13" s="13" t="str">
        <x:v>2026-06-11</x:v>
      </x:c>
      <x:c r="I13" s="13" t="str">
        <x:v>2027-05-16</x:v>
      </x:c>
      <x:c r="J13" s="13" t="str">
        <x:v>북서울미술관 장기 전시.</x:v>
      </x:c>
      <x:c r="K13" s="13" t="str">
        <x:v>https://sema.seoul.go.kr/kr/whatson/landing?whenType=NEXT_WEEK</x:v>
      </x:c>
    </x:row>
  </x:sheetData>
  <x:pageMargins left="0.7" right="0.7" top="0.75" bottom="0.75" header="0.3" footer="0.3"/>
  <x:tableParts count="1">
    <x:tablePart xmlns:r="http://schemas.openxmlformats.org/officeDocument/2006/relationships" r:id="R509389b774624b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14" hidden="0" customWidth="1"/>
    <x:col min="5" max="5" width="18" hidden="0" customWidth="1"/>
    <x:col min="6" max="6" width="14" hidden="0" customWidth="1"/>
    <x:col min="7" max="7" width="14" hidden="0" customWidth="1"/>
    <x:col min="8" max="8" width="55" hidden="0" customWidth="1"/>
  </x:cols>
  <x:sheetData>
    <x:row r="1">
      <x:c r="A1" s="28" t="str">
        <x:v>place_id</x:v>
      </x:c>
      <x:c r="B1" s="28" t="str">
        <x:v>day_of_week</x:v>
      </x:c>
      <x:c r="C1" s="28" t="str">
        <x:v>open_time</x:v>
      </x:c>
      <x:c r="D1" s="28" t="str">
        <x:v>close_time</x:v>
      </x:c>
      <x:c r="E1" s="28" t="str">
        <x:v>show_interval</x:v>
      </x:c>
      <x:c r="F1" s="28" t="str">
        <x:v>last_entry</x:v>
      </x:c>
      <x:c r="G1" s="28" t="str">
        <x:v>price_krw</x:v>
      </x:c>
      <x:c r="H1" s="28" t="str">
        <x:v>note</x:v>
      </x:c>
    </x:row>
    <x:row r="2">
      <x:c r="A2" s="13" t="str">
        <x:v>SEOUL002</x:v>
      </x:c>
      <x:c r="B2" s="13" t="str">
        <x:v>All</x:v>
      </x:c>
      <x:c r="C2" s="13" t="str">
        <x:v>19:00</x:v>
      </x:c>
      <x:c r="D2" s="13" t="str">
        <x:v>23:00</x:v>
      </x:c>
      <x:c r="E2" s="13" t="str"/>
      <x:c r="F2" s="13" t="str"/>
      <x:c r="G2" s="13" t="str">
        <x:v>0</x:v>
      </x:c>
      <x:c r="H2" s="13" t="str">
        <x:v>2026-09-01~2026-11-30; 변동 가능</x:v>
      </x:c>
    </x:row>
    <x:row r="3">
      <x:c r="A3" s="13" t="str">
        <x:v>SEOUL003</x:v>
      </x:c>
      <x:c r="B3" s="13" t="str">
        <x:v>All</x:v>
      </x:c>
      <x:c r="C3" s="13" t="str">
        <x:v>08:00</x:v>
      </x:c>
      <x:c r="D3" s="13" t="str">
        <x:v>22:00</x:v>
      </x:c>
      <x:c r="E3" s="13" t="str"/>
      <x:c r="F3" s="13" t="str"/>
      <x:c r="G3" s="13" t="str">
        <x:v>0</x:v>
      </x:c>
      <x:c r="H3" s="13" t="str">
        <x:v>2026-09-01~2026-11-30</x:v>
      </x:c>
    </x:row>
    <x:row r="4">
      <x:c r="A4" s="13" t="str">
        <x:v>SEOUL005</x:v>
      </x:c>
      <x:c r="B4" s="13" t="str">
        <x:v>All</x:v>
      </x:c>
      <x:c r="C4" s="13" t="str">
        <x:v>19:00</x:v>
      </x:c>
      <x:c r="D4" s="13" t="str">
        <x:v>23:00</x:v>
      </x:c>
      <x:c r="E4" s="13" t="str"/>
      <x:c r="F4" s="13" t="str"/>
      <x:c r="G4" s="13" t="str">
        <x:v>0</x:v>
      </x:c>
      <x:c r="H4" s="13" t="str">
        <x:v>2026-09-21~2026-11-30</x:v>
      </x:c>
    </x:row>
    <x:row r="5">
      <x:c r="A5" s="13" t="str">
        <x:v>SEOUL020</x:v>
      </x:c>
      <x:c r="B5" s="13" t="str">
        <x:v>Tue-Sun</x:v>
      </x:c>
      <x:c r="C5" s="13" t="str">
        <x:v>10:00</x:v>
      </x:c>
      <x:c r="D5" s="13" t="str">
        <x:v>20:00</x:v>
      </x:c>
      <x:c r="E5" s="13" t="str"/>
      <x:c r="F5" s="13" t="str">
        <x:v>19:40</x:v>
      </x:c>
      <x:c r="G5" s="13" t="str">
        <x:v>0</x:v>
      </x:c>
      <x:c r="H5" s="13" t="str">
        <x:v>2F~4F 월요일 휴관; 1F·5F는 별도 운영</x:v>
      </x:c>
    </x:row>
    <x:row r="6">
      <x:c r="A6" s="13" t="str">
        <x:v>SEOUL021</x:v>
      </x:c>
      <x:c r="B6" s="13" t="str">
        <x:v>All</x:v>
      </x:c>
      <x:c r="C6" s="13" t="str">
        <x:v>18:00</x:v>
      </x:c>
      <x:c r="D6" s="13" t="str">
        <x:v>22:00</x:v>
      </x:c>
      <x:c r="E6" s="13" t="str"/>
      <x:c r="F6" s="13" t="str"/>
      <x:c r="G6" s="13" t="str">
        <x:v>0</x:v>
      </x:c>
      <x:c r="H6" s="13" t="str">
        <x:v>계절별 시작시간 조정 가능</x:v>
      </x:c>
    </x:row>
    <x:row r="7">
      <x:c r="A7" s="13" t="str">
        <x:v>SEOUL022</x:v>
      </x:c>
      <x:c r="B7" s="13" t="str">
        <x:v>Museum days</x:v>
      </x:c>
      <x:c r="C7" s="13" t="str">
        <x:v>09:30</x:v>
      </x:c>
      <x:c r="D7" s="13" t="str"/>
      <x:c r="E7" s="13" t="str"/>
      <x:c r="F7" s="13" t="str"/>
      <x:c r="G7" s="13" t="str">
        <x:v>0</x:v>
      </x:c>
      <x:c r="H7" s="13" t="str">
        <x:v>관람 종료 30분 전까지; 2관 VR은 예약 필요</x:v>
      </x:c>
    </x:row>
    <x:row r="8">
      <x:c r="A8" s="13" t="str">
        <x:v>SEOUL023</x:v>
      </x:c>
      <x:c r="B8" s="13" t="str">
        <x:v>Weekdays</x:v>
      </x:c>
      <x:c r="C8" s="13" t="str">
        <x:v>18:30</x:v>
      </x:c>
      <x:c r="D8" s="13" t="str">
        <x:v>21:00</x:v>
      </x:c>
      <x:c r="E8" s="13" t="str">
        <x:v>회차제</x:v>
      </x:c>
      <x:c r="F8" s="13" t="str"/>
      <x:c r="G8" s="13" t="str">
        <x:v>20000</x:v>
      </x:c>
      <x:c r="H8" s="13" t="str">
        <x:v>주말·공휴일 다회차; 최신 예매시간 확인</x:v>
      </x:c>
    </x:row>
    <x:row r="9">
      <x:c r="A9" s="13" t="str">
        <x:v>SEOUL024</x:v>
      </x:c>
      <x:c r="B9" s="13" t="str">
        <x:v>Tue-Fri</x:v>
      </x:c>
      <x:c r="C9" s="13" t="str">
        <x:v>10:00</x:v>
      </x:c>
      <x:c r="D9" s="13" t="str">
        <x:v>20:00</x:v>
      </x:c>
      <x:c r="E9" s="13" t="str"/>
      <x:c r="F9" s="13" t="str"/>
      <x:c r="G9" s="13" t="str">
        <x:v>0</x:v>
      </x:c>
      <x:c r="H9" s="13" t="str">
        <x:v>주말·공휴일은 계절별 폐관시간 상이</x:v>
      </x:c>
    </x:row>
    <x:row r="10">
      <x:c r="A10" s="13" t="str">
        <x:v>SEOUL025</x:v>
      </x:c>
      <x:c r="B10" s="13" t="str">
        <x:v>Museum days</x:v>
      </x:c>
      <x:c r="C10" s="13" t="str"/>
      <x:c r="D10" s="13" t="str"/>
      <x:c r="E10" s="13" t="str"/>
      <x:c r="F10" s="13" t="str"/>
      <x:c r="G10" s="13" t="str">
        <x:v>0</x:v>
      </x:c>
      <x:c r="H10" s="13" t="str">
        <x:v>전시별 관람료·시간 공식사이트 확인</x:v>
      </x:c>
    </x:row>
    <x:row r="11">
      <x:c r="A11" s="13" t="str">
        <x:v>SEOUL034</x:v>
      </x:c>
      <x:c r="B11" s="13" t="str">
        <x:v>Tue-Fri</x:v>
      </x:c>
      <x:c r="C11" s="13" t="str">
        <x:v>10:00</x:v>
      </x:c>
      <x:c r="D11" s="13" t="str">
        <x:v>20:00</x:v>
      </x:c>
      <x:c r="E11" s="13" t="str"/>
      <x:c r="F11" s="13" t="str"/>
      <x:c r="G11" s="13" t="str">
        <x:v>0</x:v>
      </x:c>
      <x:c r="H11" s="13" t="str">
        <x:v>주말·공휴일은 계절별 폐관시간 상이</x:v>
      </x:c>
    </x:row>
    <x:row r="12">
      <x:c r="A12" s="13" t="str">
        <x:v>SEOUL045</x:v>
      </x:c>
      <x:c r="B12" s="13" t="str">
        <x:v>Seasonal</x:v>
      </x:c>
      <x:c r="C12" s="13" t="str"/>
      <x:c r="D12" s="13" t="str"/>
      <x:c r="E12" s="13" t="str">
        <x:v>회차제</x:v>
      </x:c>
      <x:c r="F12" s="13" t="str"/>
      <x:c r="G12" s="13" t="str">
        <x:v>0</x:v>
      </x:c>
      <x:c r="H12" s="13" t="str">
        <x:v>반포대교 분수 공식 일정 확인</x:v>
      </x:c>
    </x:row>
    <x:row r="13">
      <x:c r="A13" s="13" t="str">
        <x:v>SEOUL050</x:v>
      </x:c>
      <x:c r="B13" s="13" t="str">
        <x:v>Tue-Sun</x:v>
      </x:c>
      <x:c r="C13" s="13" t="str">
        <x:v>sunset-00:30</x:v>
      </x:c>
      <x:c r="D13" s="13" t="str">
        <x:v>22:00</x:v>
      </x:c>
      <x:c r="E13" s="13" t="str"/>
      <x:c r="F13" s="13" t="str"/>
      <x:c r="G13" s="13" t="str">
        <x:v>0</x:v>
      </x:c>
      <x:c r="H13" s="13" t="str">
        <x:v>연중 운영, 월요일 휴무(노원구 자료 기준)</x:v>
      </x:c>
    </x:row>
  </x:sheetData>
  <x:pageMargins left="0.7" right="0.7" top="0.75" bottom="0.75" header="0.3" footer="0.3"/>
  <x:tableParts count="1">
    <x:tablePart xmlns:r="http://schemas.openxmlformats.org/officeDocument/2006/relationships" r:id="Rb333cd3db8034aa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</x:cols>
  <x:sheetData>
    <x:row r="1">
      <x:c r="A1" s="23" t="str">
        <x:v>place_id</x:v>
      </x:c>
      <x:c r="B1" s="23" t="str">
        <x:v>tag</x:v>
      </x:c>
    </x:row>
    <x:row r="2">
      <x:c r="A2" t="str">
        <x:v>SEOUL001</x:v>
      </x:c>
      <x:c r="B2" t="str">
        <x:v>Night</x:v>
      </x:c>
    </x:row>
    <x:row r="3">
      <x:c r="A3" t="str">
        <x:v>SEOUL001</x:v>
      </x:c>
      <x:c r="B3" t="str">
        <x:v>Free</x:v>
      </x:c>
    </x:row>
    <x:row r="4">
      <x:c r="A4" t="str">
        <x:v>SEOUL001</x:v>
      </x:c>
      <x:c r="B4" t="str">
        <x:v>Outdoor</x:v>
      </x:c>
    </x:row>
    <x:row r="5">
      <x:c r="A5" t="str">
        <x:v>SEOUL001</x:v>
      </x:c>
      <x:c r="B5" t="str">
        <x:v>Media Facade</x:v>
      </x:c>
    </x:row>
    <x:row r="6">
      <x:c r="A6" t="str">
        <x:v>SEOUL001</x:v>
      </x:c>
      <x:c r="B6" t="str">
        <x:v>Public Art</x:v>
      </x:c>
    </x:row>
    <x:row r="7">
      <x:c r="A7" t="str">
        <x:v>SEOUL001</x:v>
      </x:c>
      <x:c r="B7" t="str">
        <x:v>Han River</x:v>
      </x:c>
    </x:row>
    <x:row r="8">
      <x:c r="A8" t="str">
        <x:v>SEOUL002</x:v>
      </x:c>
      <x:c r="B8" t="str">
        <x:v>Night</x:v>
      </x:c>
    </x:row>
    <x:row r="9">
      <x:c r="A9" t="str">
        <x:v>SEOUL002</x:v>
      </x:c>
      <x:c r="B9" t="str">
        <x:v>Free</x:v>
      </x:c>
    </x:row>
    <x:row r="10">
      <x:c r="A10" t="str">
        <x:v>SEOUL002</x:v>
      </x:c>
      <x:c r="B10" t="str">
        <x:v>Outdoor</x:v>
      </x:c>
    </x:row>
    <x:row r="11">
      <x:c r="A11" t="str">
        <x:v>SEOUL002</x:v>
      </x:c>
      <x:c r="B11" t="str">
        <x:v>Media Facade</x:v>
      </x:c>
    </x:row>
    <x:row r="12">
      <x:c r="A12" t="str">
        <x:v>SEOUL002</x:v>
      </x:c>
      <x:c r="B12" t="str">
        <x:v>Gwanghwamun</x:v>
      </x:c>
    </x:row>
    <x:row r="13">
      <x:c r="A13" t="str">
        <x:v>SEOUL002</x:v>
      </x:c>
      <x:c r="B13" t="str">
        <x:v>Current</x:v>
      </x:c>
    </x:row>
    <x:row r="14">
      <x:c r="A14" t="str">
        <x:v>SEOUL003</x:v>
      </x:c>
      <x:c r="B14" t="str">
        <x:v>Free</x:v>
      </x:c>
    </x:row>
    <x:row r="15">
      <x:c r="A15" t="str">
        <x:v>SEOUL003</x:v>
      </x:c>
      <x:c r="B15" t="str">
        <x:v>Outdoor</x:v>
      </x:c>
    </x:row>
    <x:row r="16">
      <x:c r="A16" t="str">
        <x:v>SEOUL003</x:v>
      </x:c>
      <x:c r="B16" t="str">
        <x:v>Media Wall</x:v>
      </x:c>
    </x:row>
    <x:row r="17">
      <x:c r="A17" t="str">
        <x:v>SEOUL003</x:v>
      </x:c>
      <x:c r="B17" t="str">
        <x:v>Gwanghwamun</x:v>
      </x:c>
    </x:row>
    <x:row r="18">
      <x:c r="A18" t="str">
        <x:v>SEOUL003</x:v>
      </x:c>
      <x:c r="B18" t="str">
        <x:v>Current</x:v>
      </x:c>
    </x:row>
    <x:row r="19">
      <x:c r="A19" t="str">
        <x:v>SEOUL003</x:v>
      </x:c>
      <x:c r="B19" t="str">
        <x:v>Daytime</x:v>
      </x:c>
    </x:row>
    <x:row r="20">
      <x:c r="A20" t="str">
        <x:v>SEOUL004</x:v>
      </x:c>
      <x:c r="B20" t="str">
        <x:v>Night</x:v>
      </x:c>
    </x:row>
    <x:row r="21">
      <x:c r="A21" t="str">
        <x:v>SEOUL004</x:v>
      </x:c>
      <x:c r="B21" t="str">
        <x:v>Free</x:v>
      </x:c>
    </x:row>
    <x:row r="22">
      <x:c r="A22" t="str">
        <x:v>SEOUL004</x:v>
      </x:c>
      <x:c r="B22" t="str">
        <x:v>Outdoor</x:v>
      </x:c>
    </x:row>
    <x:row r="23">
      <x:c r="A23" t="str">
        <x:v>SEOUL004</x:v>
      </x:c>
      <x:c r="B23" t="str">
        <x:v>Media Facade</x:v>
      </x:c>
    </x:row>
    <x:row r="24">
      <x:c r="A24" t="str">
        <x:v>SEOUL004</x:v>
      </x:c>
      <x:c r="B24" t="str">
        <x:v>Cheonggyecheon</x:v>
      </x:c>
    </x:row>
    <x:row r="25">
      <x:c r="A25" t="str">
        <x:v>SEOUL005</x:v>
      </x:c>
      <x:c r="B25" t="str">
        <x:v>Night</x:v>
      </x:c>
    </x:row>
    <x:row r="26">
      <x:c r="A26" t="str">
        <x:v>SEOUL005</x:v>
      </x:c>
      <x:c r="B26" t="str">
        <x:v>Free</x:v>
      </x:c>
    </x:row>
    <x:row r="27">
      <x:c r="A27" t="str">
        <x:v>SEOUL005</x:v>
      </x:c>
      <x:c r="B27" t="str">
        <x:v>Outdoor</x:v>
      </x:c>
    </x:row>
    <x:row r="28">
      <x:c r="A28" t="str">
        <x:v>SEOUL005</x:v>
      </x:c>
      <x:c r="B28" t="str">
        <x:v>Media Art</x:v>
      </x:c>
    </x:row>
    <x:row r="29">
      <x:c r="A29" t="str">
        <x:v>SEOUL005</x:v>
      </x:c>
      <x:c r="B29" t="str">
        <x:v>Seoul Station</x:v>
      </x:c>
    </x:row>
    <x:row r="30">
      <x:c r="A30" t="str">
        <x:v>SEOUL005</x:v>
      </x:c>
      <x:c r="B30" t="str">
        <x:v>Current</x:v>
      </x:c>
    </x:row>
    <x:row r="31">
      <x:c r="A31" t="str">
        <x:v>SEOUL006</x:v>
      </x:c>
      <x:c r="B31" t="str">
        <x:v>Night</x:v>
      </x:c>
    </x:row>
    <x:row r="32">
      <x:c r="A32" t="str">
        <x:v>SEOUL006</x:v>
      </x:c>
      <x:c r="B32" t="str">
        <x:v>Free</x:v>
      </x:c>
    </x:row>
    <x:row r="33">
      <x:c r="A33" t="str">
        <x:v>SEOUL006</x:v>
      </x:c>
      <x:c r="B33" t="str">
        <x:v>Outdoor</x:v>
      </x:c>
    </x:row>
    <x:row r="34">
      <x:c r="A34" t="str">
        <x:v>SEOUL006</x:v>
      </x:c>
      <x:c r="B34" t="str">
        <x:v>Media Facade</x:v>
      </x:c>
    </x:row>
    <x:row r="35">
      <x:c r="A35" t="str">
        <x:v>SEOUL006</x:v>
      </x:c>
      <x:c r="B35" t="str">
        <x:v>Architecture</x:v>
      </x:c>
    </x:row>
    <x:row r="36">
      <x:c r="A36" t="str">
        <x:v>SEOUL006</x:v>
      </x:c>
      <x:c r="B36" t="str">
        <x:v>Seasonal</x:v>
      </x:c>
    </x:row>
    <x:row r="37">
      <x:c r="A37" t="str">
        <x:v>SEOUL007</x:v>
      </x:c>
      <x:c r="B37" t="str">
        <x:v>Free</x:v>
      </x:c>
    </x:row>
    <x:row r="38">
      <x:c r="A38" t="str">
        <x:v>SEOUL007</x:v>
      </x:c>
      <x:c r="B38" t="str">
        <x:v>Outdoor</x:v>
      </x:c>
    </x:row>
    <x:row r="39">
      <x:c r="A39" t="str">
        <x:v>SEOUL007</x:v>
      </x:c>
      <x:c r="B39" t="str">
        <x:v>Anamorphic</x:v>
      </x:c>
    </x:row>
    <x:row r="40">
      <x:c r="A40" t="str">
        <x:v>SEOUL007</x:v>
      </x:c>
      <x:c r="B40" t="str">
        <x:v>Media Facade</x:v>
      </x:c>
    </x:row>
    <x:row r="41">
      <x:c r="A41" t="str">
        <x:v>SEOUL007</x:v>
      </x:c>
      <x:c r="B41" t="str">
        <x:v>Gangnam</x:v>
      </x:c>
    </x:row>
    <x:row r="42">
      <x:c r="A42" t="str">
        <x:v>SEOUL007</x:v>
      </x:c>
      <x:c r="B42" t="str">
        <x:v>Photography</x:v>
      </x:c>
    </x:row>
    <x:row r="43">
      <x:c r="A43" t="str">
        <x:v>SEOUL008</x:v>
      </x:c>
      <x:c r="B43" t="str">
        <x:v>Free</x:v>
      </x:c>
    </x:row>
    <x:row r="44">
      <x:c r="A44" t="str">
        <x:v>SEOUL008</x:v>
      </x:c>
      <x:c r="B44" t="str">
        <x:v>Outdoor</x:v>
      </x:c>
    </x:row>
    <x:row r="45">
      <x:c r="A45" t="str">
        <x:v>SEOUL008</x:v>
      </x:c>
      <x:c r="B45" t="str">
        <x:v>Media Facade</x:v>
      </x:c>
    </x:row>
    <x:row r="46">
      <x:c r="A46" t="str">
        <x:v>SEOUL008</x:v>
      </x:c>
      <x:c r="B46" t="str">
        <x:v>Myeongdong</x:v>
      </x:c>
    </x:row>
    <x:row r="47">
      <x:c r="A47" t="str">
        <x:v>SEOUL008</x:v>
      </x:c>
      <x:c r="B47" t="str">
        <x:v>Photography</x:v>
      </x:c>
    </x:row>
    <x:row r="48">
      <x:c r="A48" t="str">
        <x:v>SEOUL008</x:v>
      </x:c>
      <x:c r="B48" t="str">
        <x:v>Night</x:v>
      </x:c>
    </x:row>
    <x:row r="49">
      <x:c r="A49" t="str">
        <x:v>SEOUL009</x:v>
      </x:c>
      <x:c r="B49" t="str">
        <x:v>Free</x:v>
      </x:c>
    </x:row>
    <x:row r="50">
      <x:c r="A50" t="str">
        <x:v>SEOUL009</x:v>
      </x:c>
      <x:c r="B50" t="str">
        <x:v>Outdoor</x:v>
      </x:c>
    </x:row>
    <x:row r="51">
      <x:c r="A51" t="str">
        <x:v>SEOUL009</x:v>
      </x:c>
      <x:c r="B51" t="str">
        <x:v>Architecture</x:v>
      </x:c>
    </x:row>
    <x:row r="52">
      <x:c r="A52" t="str">
        <x:v>SEOUL009</x:v>
      </x:c>
      <x:c r="B52" t="str">
        <x:v>Media Facade</x:v>
      </x:c>
    </x:row>
    <x:row r="53">
      <x:c r="A53" t="str">
        <x:v>SEOUL009</x:v>
      </x:c>
      <x:c r="B53" t="str">
        <x:v>Apgujeong</x:v>
      </x:c>
    </x:row>
    <x:row r="54">
      <x:c r="A54" t="str">
        <x:v>SEOUL009</x:v>
      </x:c>
      <x:c r="B54" t="str">
        <x:v>Night</x:v>
      </x:c>
    </x:row>
    <x:row r="55">
      <x:c r="A55" t="str">
        <x:v>SEOUL010</x:v>
      </x:c>
      <x:c r="B55" t="str">
        <x:v>Free</x:v>
      </x:c>
    </x:row>
    <x:row r="56">
      <x:c r="A56" t="str">
        <x:v>SEOUL010</x:v>
      </x:c>
      <x:c r="B56" t="str">
        <x:v>Outdoor</x:v>
      </x:c>
    </x:row>
    <x:row r="57">
      <x:c r="A57" t="str">
        <x:v>SEOUL010</x:v>
      </x:c>
      <x:c r="B57" t="str">
        <x:v>Media Facade</x:v>
      </x:c>
    </x:row>
    <x:row r="58">
      <x:c r="A58" t="str">
        <x:v>SEOUL010</x:v>
      </x:c>
      <x:c r="B58" t="str">
        <x:v>Seoul Station</x:v>
      </x:c>
    </x:row>
    <x:row r="59">
      <x:c r="A59" t="str">
        <x:v>SEOUL010</x:v>
      </x:c>
      <x:c r="B59" t="str">
        <x:v>Architecture</x:v>
      </x:c>
    </x:row>
    <x:row r="60">
      <x:c r="A60" t="str">
        <x:v>SEOUL011</x:v>
      </x:c>
      <x:c r="B60" t="str">
        <x:v>Free</x:v>
      </x:c>
    </x:row>
    <x:row r="61">
      <x:c r="A61" t="str">
        <x:v>SEOUL011</x:v>
      </x:c>
      <x:c r="B61" t="str">
        <x:v>Outdoor</x:v>
      </x:c>
    </x:row>
    <x:row r="62">
      <x:c r="A62" t="str">
        <x:v>SEOUL011</x:v>
      </x:c>
      <x:c r="B62" t="str">
        <x:v>Digital Signage</x:v>
      </x:c>
    </x:row>
    <x:row r="63">
      <x:c r="A63" t="str">
        <x:v>SEOUL011</x:v>
      </x:c>
      <x:c r="B63" t="str">
        <x:v>Gwanghwamun</x:v>
      </x:c>
    </x:row>
    <x:row r="64">
      <x:c r="A64" t="str">
        <x:v>SEOUL012</x:v>
      </x:c>
      <x:c r="B64" t="str">
        <x:v>Free</x:v>
      </x:c>
    </x:row>
    <x:row r="65">
      <x:c r="A65" t="str">
        <x:v>SEOUL012</x:v>
      </x:c>
      <x:c r="B65" t="str">
        <x:v>Outdoor</x:v>
      </x:c>
    </x:row>
    <x:row r="66">
      <x:c r="A66" t="str">
        <x:v>SEOUL012</x:v>
      </x:c>
      <x:c r="B66" t="str">
        <x:v>Digital Signage</x:v>
      </x:c>
    </x:row>
    <x:row r="67">
      <x:c r="A67" t="str">
        <x:v>SEOUL012</x:v>
      </x:c>
      <x:c r="B67" t="str">
        <x:v>Gwanghwamun</x:v>
      </x:c>
    </x:row>
    <x:row r="68">
      <x:c r="A68" t="str">
        <x:v>SEOUL013</x:v>
      </x:c>
      <x:c r="B68" t="str">
        <x:v>Free</x:v>
      </x:c>
    </x:row>
    <x:row r="69">
      <x:c r="A69" t="str">
        <x:v>SEOUL013</x:v>
      </x:c>
      <x:c r="B69" t="str">
        <x:v>Outdoor</x:v>
      </x:c>
    </x:row>
    <x:row r="70">
      <x:c r="A70" t="str">
        <x:v>SEOUL013</x:v>
      </x:c>
      <x:c r="B70" t="str">
        <x:v>Digital Signage</x:v>
      </x:c>
    </x:row>
    <x:row r="71">
      <x:c r="A71" t="str">
        <x:v>SEOUL013</x:v>
      </x:c>
      <x:c r="B71" t="str">
        <x:v>Gwanghwamun</x:v>
      </x:c>
    </x:row>
    <x:row r="72">
      <x:c r="A72" t="str">
        <x:v>SEOUL014</x:v>
      </x:c>
      <x:c r="B72" t="str">
        <x:v>Free</x:v>
      </x:c>
    </x:row>
    <x:row r="73">
      <x:c r="A73" t="str">
        <x:v>SEOUL014</x:v>
      </x:c>
      <x:c r="B73" t="str">
        <x:v>Outdoor</x:v>
      </x:c>
    </x:row>
    <x:row r="74">
      <x:c r="A74" t="str">
        <x:v>SEOUL014</x:v>
      </x:c>
      <x:c r="B74" t="str">
        <x:v>Digital Signage</x:v>
      </x:c>
    </x:row>
    <x:row r="75">
      <x:c r="A75" t="str">
        <x:v>SEOUL014</x:v>
      </x:c>
      <x:c r="B75" t="str">
        <x:v>Cheonggyecheon</x:v>
      </x:c>
    </x:row>
    <x:row r="76">
      <x:c r="A76" t="str">
        <x:v>SEOUL015</x:v>
      </x:c>
      <x:c r="B76" t="str">
        <x:v>Free</x:v>
      </x:c>
    </x:row>
    <x:row r="77">
      <x:c r="A77" t="str">
        <x:v>SEOUL015</x:v>
      </x:c>
      <x:c r="B77" t="str">
        <x:v>Outdoor</x:v>
      </x:c>
    </x:row>
    <x:row r="78">
      <x:c r="A78" t="str">
        <x:v>SEOUL015</x:v>
      </x:c>
      <x:c r="B78" t="str">
        <x:v>Museum</x:v>
      </x:c>
    </x:row>
    <x:row r="79">
      <x:c r="A79" t="str">
        <x:v>SEOUL015</x:v>
      </x:c>
      <x:c r="B79" t="str">
        <x:v>Digital Signage</x:v>
      </x:c>
    </x:row>
    <x:row r="80">
      <x:c r="A80" t="str">
        <x:v>SEOUL015</x:v>
      </x:c>
      <x:c r="B80" t="str">
        <x:v>Gwanghwamun</x:v>
      </x:c>
    </x:row>
    <x:row r="81">
      <x:c r="A81" t="str">
        <x:v>SEOUL016</x:v>
      </x:c>
      <x:c r="B81" t="str">
        <x:v>Indoor</x:v>
      </x:c>
    </x:row>
    <x:row r="82">
      <x:c r="A82" t="str">
        <x:v>SEOUL016</x:v>
      </x:c>
      <x:c r="B82" t="str">
        <x:v>Outdoor</x:v>
      </x:c>
    </x:row>
    <x:row r="83">
      <x:c r="A83" t="str">
        <x:v>SEOUL016</x:v>
      </x:c>
      <x:c r="B83" t="str">
        <x:v>AI</x:v>
      </x:c>
    </x:row>
    <x:row r="84">
      <x:c r="A84" t="str">
        <x:v>SEOUL016</x:v>
      </x:c>
      <x:c r="B84" t="str">
        <x:v>Media Facade</x:v>
      </x:c>
    </x:row>
    <x:row r="85">
      <x:c r="A85" t="str">
        <x:v>SEOUL016</x:v>
      </x:c>
      <x:c r="B85" t="str">
        <x:v>Museum</x:v>
      </x:c>
    </x:row>
    <x:row r="86">
      <x:c r="A86" t="str">
        <x:v>SEOUL016</x:v>
      </x:c>
      <x:c r="B86" t="str">
        <x:v>Family</x:v>
      </x:c>
    </x:row>
    <x:row r="87">
      <x:c r="A87" t="str">
        <x:v>SEOUL017</x:v>
      </x:c>
      <x:c r="B87" t="str">
        <x:v>Free</x:v>
      </x:c>
    </x:row>
    <x:row r="88">
      <x:c r="A88" t="str">
        <x:v>SEOUL017</x:v>
      </x:c>
      <x:c r="B88" t="str">
        <x:v>Outdoor</x:v>
      </x:c>
    </x:row>
    <x:row r="89">
      <x:c r="A89" t="str">
        <x:v>SEOUL017</x:v>
      </x:c>
      <x:c r="B89" t="str">
        <x:v>Transparent LED</x:v>
      </x:c>
    </x:row>
    <x:row r="90">
      <x:c r="A90" t="str">
        <x:v>SEOUL017</x:v>
      </x:c>
      <x:c r="B90" t="str">
        <x:v>Media Facade</x:v>
      </x:c>
    </x:row>
    <x:row r="91">
      <x:c r="A91" t="str">
        <x:v>SEOUL017</x:v>
      </x:c>
      <x:c r="B91" t="str">
        <x:v>Magok</x:v>
      </x:c>
    </x:row>
    <x:row r="92">
      <x:c r="A92" t="str">
        <x:v>SEOUL018</x:v>
      </x:c>
      <x:c r="B92" t="str">
        <x:v>Free</x:v>
      </x:c>
    </x:row>
    <x:row r="93">
      <x:c r="A93" t="str">
        <x:v>SEOUL018</x:v>
      </x:c>
      <x:c r="B93" t="str">
        <x:v>Outdoor</x:v>
      </x:c>
    </x:row>
    <x:row r="94">
      <x:c r="A94" t="str">
        <x:v>SEOUL018</x:v>
      </x:c>
      <x:c r="B94" t="str">
        <x:v>Skyscraper</x:v>
      </x:c>
    </x:row>
    <x:row r="95">
      <x:c r="A95" t="str">
        <x:v>SEOUL018</x:v>
      </x:c>
      <x:c r="B95" t="str">
        <x:v>Media Facade</x:v>
      </x:c>
    </x:row>
    <x:row r="96">
      <x:c r="A96" t="str">
        <x:v>SEOUL018</x:v>
      </x:c>
      <x:c r="B96" t="str">
        <x:v>Night</x:v>
      </x:c>
    </x:row>
    <x:row r="97">
      <x:c r="A97" t="str">
        <x:v>SEOUL018</x:v>
      </x:c>
      <x:c r="B97" t="str">
        <x:v>Songpa</x:v>
      </x:c>
    </x:row>
    <x:row r="98">
      <x:c r="A98" t="str">
        <x:v>SEOUL019</x:v>
      </x:c>
      <x:c r="B98" t="str">
        <x:v>Upcoming</x:v>
      </x:c>
    </x:row>
    <x:row r="99">
      <x:c r="A99" t="str">
        <x:v>SEOUL019</x:v>
      </x:c>
      <x:c r="B99" t="str">
        <x:v>Outdoor</x:v>
      </x:c>
    </x:row>
    <x:row r="100">
      <x:c r="A100" t="str">
        <x:v>SEOUL019</x:v>
      </x:c>
      <x:c r="B100" t="str">
        <x:v>Media Facade</x:v>
      </x:c>
    </x:row>
    <x:row r="101">
      <x:c r="A101" t="str">
        <x:v>SEOUL019</x:v>
      </x:c>
      <x:c r="B101" t="str">
        <x:v>Myeongdong</x:v>
      </x:c>
    </x:row>
    <x:row r="102">
      <x:c r="A102" t="str">
        <x:v>SEOUL020</x:v>
      </x:c>
      <x:c r="B102" t="str">
        <x:v>Free</x:v>
      </x:c>
    </x:row>
    <x:row r="103">
      <x:c r="A103" t="str">
        <x:v>SEOUL020</x:v>
      </x:c>
      <x:c r="B103" t="str">
        <x:v>Indoor</x:v>
      </x:c>
    </x:row>
    <x:row r="104">
      <x:c r="A104" t="str">
        <x:v>SEOUL020</x:v>
      </x:c>
      <x:c r="B104" t="str">
        <x:v>Interactive</x:v>
      </x:c>
    </x:row>
    <x:row r="105">
      <x:c r="A105" t="str">
        <x:v>SEOUL020</x:v>
      </x:c>
      <x:c r="B105" t="str">
        <x:v>Media Wall</x:v>
      </x:c>
    </x:row>
    <x:row r="106">
      <x:c r="A106" t="str">
        <x:v>SEOUL020</x:v>
      </x:c>
      <x:c r="B106" t="str">
        <x:v>K-pop</x:v>
      </x:c>
    </x:row>
    <x:row r="107">
      <x:c r="A107" t="str">
        <x:v>SEOUL020</x:v>
      </x:c>
      <x:c r="B107" t="str">
        <x:v>Family</x:v>
      </x:c>
    </x:row>
    <x:row r="108">
      <x:c r="A108" t="str">
        <x:v>SEOUL021</x:v>
      </x:c>
      <x:c r="B108" t="str">
        <x:v>Free</x:v>
      </x:c>
    </x:row>
    <x:row r="109">
      <x:c r="A109" t="str">
        <x:v>SEOUL021</x:v>
      </x:c>
      <x:c r="B109" t="str">
        <x:v>Outdoor</x:v>
      </x:c>
    </x:row>
    <x:row r="110">
      <x:c r="A110" t="str">
        <x:v>SEOUL021</x:v>
      </x:c>
      <x:c r="B110" t="str">
        <x:v>Immersive</x:v>
      </x:c>
    </x:row>
    <x:row r="111">
      <x:c r="A111" t="str">
        <x:v>SEOUL021</x:v>
      </x:c>
      <x:c r="B111" t="str">
        <x:v>Projection</x:v>
      </x:c>
    </x:row>
    <x:row r="112">
      <x:c r="A112" t="str">
        <x:v>SEOUL021</x:v>
      </x:c>
      <x:c r="B112" t="str">
        <x:v>Cheonggyecheon</x:v>
      </x:c>
    </x:row>
    <x:row r="113">
      <x:c r="A113" t="str">
        <x:v>SEOUL021</x:v>
      </x:c>
      <x:c r="B113" t="str">
        <x:v>Current</x:v>
      </x:c>
    </x:row>
    <x:row r="114">
      <x:c r="A114" t="str">
        <x:v>SEOUL022</x:v>
      </x:c>
      <x:c r="B114" t="str">
        <x:v>Free</x:v>
      </x:c>
    </x:row>
    <x:row r="115">
      <x:c r="A115" t="str">
        <x:v>SEOUL022</x:v>
      </x:c>
      <x:c r="B115" t="str">
        <x:v>Indoor</x:v>
      </x:c>
    </x:row>
    <x:row r="116">
      <x:c r="A116" t="str">
        <x:v>SEOUL022</x:v>
      </x:c>
      <x:c r="B116" t="str">
        <x:v>Immersive</x:v>
      </x:c>
    </x:row>
    <x:row r="117">
      <x:c r="A117" t="str">
        <x:v>SEOUL022</x:v>
      </x:c>
      <x:c r="B117" t="str">
        <x:v>VR</x:v>
      </x:c>
    </x:row>
    <x:row r="118">
      <x:c r="A118" t="str">
        <x:v>SEOUL022</x:v>
      </x:c>
      <x:c r="B118" t="str">
        <x:v>Museum</x:v>
      </x:c>
    </x:row>
    <x:row r="119">
      <x:c r="A119" t="str">
        <x:v>SEOUL022</x:v>
      </x:c>
      <x:c r="B119" t="str">
        <x:v>Family</x:v>
      </x:c>
    </x:row>
    <x:row r="120">
      <x:c r="A120" t="str">
        <x:v>SEOUL023</x:v>
      </x:c>
      <x:c r="B120" t="str">
        <x:v>Paid</x:v>
      </x:c>
    </x:row>
    <x:row r="121">
      <x:c r="A121" t="str">
        <x:v>SEOUL023</x:v>
      </x:c>
      <x:c r="B121" t="str">
        <x:v>Indoor</x:v>
      </x:c>
    </x:row>
    <x:row r="122">
      <x:c r="A122" t="str">
        <x:v>SEOUL023</x:v>
      </x:c>
      <x:c r="B122" t="str">
        <x:v>Immersive</x:v>
      </x:c>
    </x:row>
    <x:row r="123">
      <x:c r="A123" t="str">
        <x:v>SEOUL023</x:v>
      </x:c>
      <x:c r="B123" t="str">
        <x:v>Projection</x:v>
      </x:c>
    </x:row>
    <x:row r="124">
      <x:c r="A124" t="str">
        <x:v>SEOUL023</x:v>
      </x:c>
      <x:c r="B124" t="str">
        <x:v>Sound</x:v>
      </x:c>
    </x:row>
    <x:row r="125">
      <x:c r="A125" t="str">
        <x:v>SEOUL023</x:v>
      </x:c>
      <x:c r="B125" t="str">
        <x:v>Reservation</x:v>
      </x:c>
    </x:row>
    <x:row r="126">
      <x:c r="A126" t="str">
        <x:v>SEOUL024</x:v>
      </x:c>
      <x:c r="B126" t="str">
        <x:v>Free</x:v>
      </x:c>
    </x:row>
    <x:row r="127">
      <x:c r="A127" t="str">
        <x:v>SEOUL024</x:v>
      </x:c>
      <x:c r="B127" t="str">
        <x:v>Indoor</x:v>
      </x:c>
    </x:row>
    <x:row r="128">
      <x:c r="A128" t="str">
        <x:v>SEOUL024</x:v>
      </x:c>
      <x:c r="B128" t="str">
        <x:v>New Media</x:v>
      </x:c>
    </x:row>
    <x:row r="129">
      <x:c r="A129" t="str">
        <x:v>SEOUL024</x:v>
      </x:c>
      <x:c r="B129" t="str">
        <x:v>Museum</x:v>
      </x:c>
    </x:row>
    <x:row r="130">
      <x:c r="A130" t="str">
        <x:v>SEOUL024</x:v>
      </x:c>
      <x:c r="B130" t="str">
        <x:v>Current</x:v>
      </x:c>
    </x:row>
    <x:row r="131">
      <x:c r="A131" t="str">
        <x:v>SEOUL024</x:v>
      </x:c>
      <x:c r="B131" t="str">
        <x:v>Geumcheon</x:v>
      </x:c>
    </x:row>
    <x:row r="132">
      <x:c r="A132" t="str">
        <x:v>SEOUL025</x:v>
      </x:c>
      <x:c r="B132" t="str">
        <x:v>Indoor</x:v>
      </x:c>
    </x:row>
    <x:row r="133">
      <x:c r="A133" t="str">
        <x:v>SEOUL025</x:v>
      </x:c>
      <x:c r="B133" t="str">
        <x:v>Media Art</x:v>
      </x:c>
    </x:row>
    <x:row r="134">
      <x:c r="A134" t="str">
        <x:v>SEOUL025</x:v>
      </x:c>
      <x:c r="B134" t="str">
        <x:v>OLED</x:v>
      </x:c>
    </x:row>
    <x:row r="135">
      <x:c r="A135" t="str">
        <x:v>SEOUL025</x:v>
      </x:c>
      <x:c r="B135" t="str">
        <x:v>Museum</x:v>
      </x:c>
    </x:row>
    <x:row r="136">
      <x:c r="A136" t="str">
        <x:v>SEOUL025</x:v>
      </x:c>
      <x:c r="B136" t="str">
        <x:v>Current</x:v>
      </x:c>
    </x:row>
    <x:row r="137">
      <x:c r="A137" t="str">
        <x:v>SEOUL025</x:v>
      </x:c>
      <x:c r="B137" t="str">
        <x:v>Jongno</x:v>
      </x:c>
    </x:row>
    <x:row r="138">
      <x:c r="A138" t="str">
        <x:v>SEOUL026</x:v>
      </x:c>
      <x:c r="B138" t="str">
        <x:v>Indoor</x:v>
      </x:c>
    </x:row>
    <x:row r="139">
      <x:c r="A139" t="str">
        <x:v>SEOUL026</x:v>
      </x:c>
      <x:c r="B139" t="str">
        <x:v>Media Art</x:v>
      </x:c>
    </x:row>
    <x:row r="140">
      <x:c r="A140" t="str">
        <x:v>SEOUL026</x:v>
      </x:c>
      <x:c r="B140" t="str">
        <x:v>Technology Art</x:v>
      </x:c>
    </x:row>
    <x:row r="141">
      <x:c r="A141" t="str">
        <x:v>SEOUL026</x:v>
      </x:c>
      <x:c r="B141" t="str">
        <x:v>Museum</x:v>
      </x:c>
    </x:row>
    <x:row r="142">
      <x:c r="A142" t="str">
        <x:v>SEOUL026</x:v>
      </x:c>
      <x:c r="B142" t="str">
        <x:v>Jongno</x:v>
      </x:c>
    </x:row>
    <x:row r="143">
      <x:c r="A143" t="str">
        <x:v>SEOUL027</x:v>
      </x:c>
      <x:c r="B143" t="str">
        <x:v>Indoor</x:v>
      </x:c>
    </x:row>
    <x:row r="144">
      <x:c r="A144" t="str">
        <x:v>SEOUL027</x:v>
      </x:c>
      <x:c r="B144" t="str">
        <x:v>Museum</x:v>
      </x:c>
    </x:row>
    <x:row r="145">
      <x:c r="A145" t="str">
        <x:v>SEOUL027</x:v>
      </x:c>
      <x:c r="B145" t="str">
        <x:v>Architecture</x:v>
      </x:c>
    </x:row>
    <x:row r="146">
      <x:c r="A146" t="str">
        <x:v>SEOUL027</x:v>
      </x:c>
      <x:c r="B146" t="str">
        <x:v>Media Art</x:v>
      </x:c>
    </x:row>
    <x:row r="147">
      <x:c r="A147" t="str">
        <x:v>SEOUL027</x:v>
      </x:c>
      <x:c r="B147" t="str">
        <x:v>Itaewon</x:v>
      </x:c>
    </x:row>
    <x:row r="148">
      <x:c r="A148" t="str">
        <x:v>SEOUL028</x:v>
      </x:c>
      <x:c r="B148" t="str">
        <x:v>Indoor</x:v>
      </x:c>
    </x:row>
    <x:row r="149">
      <x:c r="A149" t="str">
        <x:v>SEOUL028</x:v>
      </x:c>
      <x:c r="B149" t="str">
        <x:v>Exhibition</x:v>
      </x:c>
    </x:row>
    <x:row r="150">
      <x:c r="A150" t="str">
        <x:v>SEOUL028</x:v>
      </x:c>
      <x:c r="B150" t="str">
        <x:v>Date</x:v>
      </x:c>
    </x:row>
    <x:row r="151">
      <x:c r="A151" t="str">
        <x:v>SEOUL028</x:v>
      </x:c>
      <x:c r="B151" t="str">
        <x:v>Seongsu</x:v>
      </x:c>
    </x:row>
    <x:row r="152">
      <x:c r="A152" t="str">
        <x:v>SEOUL029</x:v>
      </x:c>
      <x:c r="B152" t="str">
        <x:v>Indoor</x:v>
      </x:c>
    </x:row>
    <x:row r="153">
      <x:c r="A153" t="str">
        <x:v>SEOUL029</x:v>
      </x:c>
      <x:c r="B153" t="str">
        <x:v>Media Art</x:v>
      </x:c>
    </x:row>
    <x:row r="154">
      <x:c r="A154" t="str">
        <x:v>SEOUL029</x:v>
      </x:c>
      <x:c r="B154" t="str">
        <x:v>Performance</x:v>
      </x:c>
    </x:row>
    <x:row r="155">
      <x:c r="A155" t="str">
        <x:v>SEOUL029</x:v>
      </x:c>
      <x:c r="B155" t="str">
        <x:v>Film</x:v>
      </x:c>
    </x:row>
    <x:row r="156">
      <x:c r="A156" t="str">
        <x:v>SEOUL029</x:v>
      </x:c>
      <x:c r="B156" t="str">
        <x:v>Cheongdam</x:v>
      </x:c>
    </x:row>
    <x:row r="157">
      <x:c r="A157" t="str">
        <x:v>SEOUL030</x:v>
      </x:c>
      <x:c r="B157" t="str">
        <x:v>Indoor</x:v>
      </x:c>
    </x:row>
    <x:row r="158">
      <x:c r="A158" t="str">
        <x:v>SEOUL030</x:v>
      </x:c>
      <x:c r="B158" t="str">
        <x:v>Architecture</x:v>
      </x:c>
    </x:row>
    <x:row r="159">
      <x:c r="A159" t="str">
        <x:v>SEOUL030</x:v>
      </x:c>
      <x:c r="B159" t="str">
        <x:v>Contemporary Art</x:v>
      </x:c>
    </x:row>
    <x:row r="160">
      <x:c r="A160" t="str">
        <x:v>SEOUL030</x:v>
      </x:c>
      <x:c r="B160" t="str">
        <x:v>Magok</x:v>
      </x:c>
    </x:row>
    <x:row r="161">
      <x:c r="A161" t="str">
        <x:v>SEOUL031</x:v>
      </x:c>
      <x:c r="B161" t="str">
        <x:v>Indoor</x:v>
      </x:c>
    </x:row>
    <x:row r="162">
      <x:c r="A162" t="str">
        <x:v>SEOUL031</x:v>
      </x:c>
      <x:c r="B162" t="str">
        <x:v>Architecture</x:v>
      </x:c>
    </x:row>
    <x:row r="163">
      <x:c r="A163" t="str">
        <x:v>SEOUL031</x:v>
      </x:c>
      <x:c r="B163" t="str">
        <x:v>Exhibition</x:v>
      </x:c>
    </x:row>
    <x:row r="164">
      <x:c r="A164" t="str">
        <x:v>SEOUL031</x:v>
      </x:c>
      <x:c r="B164" t="str">
        <x:v>Seoul Station</x:v>
      </x:c>
    </x:row>
    <x:row r="165">
      <x:c r="A165" t="str">
        <x:v>SEOUL032</x:v>
      </x:c>
      <x:c r="B165" t="str">
        <x:v>Free</x:v>
      </x:c>
    </x:row>
    <x:row r="166">
      <x:c r="A166" t="str">
        <x:v>SEOUL032</x:v>
      </x:c>
      <x:c r="B166" t="str">
        <x:v>Indoor</x:v>
      </x:c>
    </x:row>
    <x:row r="167">
      <x:c r="A167" t="str">
        <x:v>SEOUL032</x:v>
      </x:c>
      <x:c r="B167" t="str">
        <x:v>Architecture</x:v>
      </x:c>
    </x:row>
    <x:row r="168">
      <x:c r="A168" t="str">
        <x:v>SEOUL032</x:v>
      </x:c>
      <x:c r="B168" t="str">
        <x:v>Interactive</x:v>
      </x:c>
    </x:row>
    <x:row r="169">
      <x:c r="A169" t="str">
        <x:v>SEOUL032</x:v>
      </x:c>
      <x:c r="B169" t="str">
        <x:v>City</x:v>
      </x:c>
    </x:row>
    <x:row r="170">
      <x:c r="A170" t="str">
        <x:v>SEOUL033</x:v>
      </x:c>
      <x:c r="B170" t="str">
        <x:v>Free</x:v>
      </x:c>
    </x:row>
    <x:row r="171">
      <x:c r="A171" t="str">
        <x:v>SEOUL033</x:v>
      </x:c>
      <x:c r="B171" t="str">
        <x:v>Indoor</x:v>
      </x:c>
    </x:row>
    <x:row r="172">
      <x:c r="A172" t="str">
        <x:v>SEOUL033</x:v>
      </x:c>
      <x:c r="B172" t="str">
        <x:v>Outdoor</x:v>
      </x:c>
    </x:row>
    <x:row r="173">
      <x:c r="A173" t="str">
        <x:v>SEOUL033</x:v>
      </x:c>
      <x:c r="B173" t="str">
        <x:v>Industrial Heritage</x:v>
      </x:c>
    </x:row>
    <x:row r="174">
      <x:c r="A174" t="str">
        <x:v>SEOUL033</x:v>
      </x:c>
      <x:c r="B174" t="str">
        <x:v>Projection</x:v>
      </x:c>
    </x:row>
    <x:row r="175">
      <x:c r="A175" t="str">
        <x:v>SEOUL033</x:v>
      </x:c>
      <x:c r="B175" t="str">
        <x:v>Architecture</x:v>
      </x:c>
    </x:row>
    <x:row r="176">
      <x:c r="A176" t="str">
        <x:v>SEOUL034</x:v>
      </x:c>
      <x:c r="B176" t="str">
        <x:v>Free</x:v>
      </x:c>
    </x:row>
    <x:row r="177">
      <x:c r="A177" t="str">
        <x:v>SEOUL034</x:v>
      </x:c>
      <x:c r="B177" t="str">
        <x:v>Indoor</x:v>
      </x:c>
    </x:row>
    <x:row r="178">
      <x:c r="A178" t="str">
        <x:v>SEOUL034</x:v>
      </x:c>
      <x:c r="B178" t="str">
        <x:v>Photography</x:v>
      </x:c>
    </x:row>
    <x:row r="179">
      <x:c r="A179" t="str">
        <x:v>SEOUL034</x:v>
      </x:c>
      <x:c r="B179" t="str">
        <x:v>Video</x:v>
      </x:c>
    </x:row>
    <x:row r="180">
      <x:c r="A180" t="str">
        <x:v>SEOUL034</x:v>
      </x:c>
      <x:c r="B180" t="str">
        <x:v>Museum</x:v>
      </x:c>
    </x:row>
    <x:row r="181">
      <x:c r="A181" t="str">
        <x:v>SEOUL034</x:v>
      </x:c>
      <x:c r="B181" t="str">
        <x:v>Current</x:v>
      </x:c>
    </x:row>
    <x:row r="182">
      <x:c r="A182" t="str">
        <x:v>SEOUL035</x:v>
      </x:c>
      <x:c r="B182" t="str">
        <x:v>Free</x:v>
      </x:c>
    </x:row>
    <x:row r="183">
      <x:c r="A183" t="str">
        <x:v>SEOUL035</x:v>
      </x:c>
      <x:c r="B183" t="str">
        <x:v>Indoor</x:v>
      </x:c>
    </x:row>
    <x:row r="184">
      <x:c r="A184" t="str">
        <x:v>SEOUL035</x:v>
      </x:c>
      <x:c r="B184" t="str">
        <x:v>Museum</x:v>
      </x:c>
    </x:row>
    <x:row r="185">
      <x:c r="A185" t="str">
        <x:v>SEOUL035</x:v>
      </x:c>
      <x:c r="B185" t="str">
        <x:v>Technology Art</x:v>
      </x:c>
    </x:row>
    <x:row r="186">
      <x:c r="A186" t="str">
        <x:v>SEOUL035</x:v>
      </x:c>
      <x:c r="B186" t="str">
        <x:v>Jeongdong</x:v>
      </x:c>
    </x:row>
    <x:row r="187">
      <x:c r="A187" t="str">
        <x:v>SEOUL035</x:v>
      </x:c>
      <x:c r="B187" t="str">
        <x:v>Current</x:v>
      </x:c>
    </x:row>
    <x:row r="188">
      <x:c r="A188" t="str">
        <x:v>SEOUL036</x:v>
      </x:c>
      <x:c r="B188" t="str">
        <x:v>Free</x:v>
      </x:c>
    </x:row>
    <x:row r="189">
      <x:c r="A189" t="str">
        <x:v>SEOUL036</x:v>
      </x:c>
      <x:c r="B189" t="str">
        <x:v>Indoor</x:v>
      </x:c>
    </x:row>
    <x:row r="190">
      <x:c r="A190" t="str">
        <x:v>SEOUL036</x:v>
      </x:c>
      <x:c r="B190" t="str">
        <x:v>Sound Art</x:v>
      </x:c>
    </x:row>
    <x:row r="191">
      <x:c r="A191" t="str">
        <x:v>SEOUL036</x:v>
      </x:c>
      <x:c r="B191" t="str">
        <x:v>Technology Art</x:v>
      </x:c>
    </x:row>
    <x:row r="192">
      <x:c r="A192" t="str">
        <x:v>SEOUL036</x:v>
      </x:c>
      <x:c r="B192" t="str">
        <x:v>Museum</x:v>
      </x:c>
    </x:row>
    <x:row r="193">
      <x:c r="A193" t="str">
        <x:v>SEOUL036</x:v>
      </x:c>
      <x:c r="B193" t="str">
        <x:v>Current</x:v>
      </x:c>
    </x:row>
    <x:row r="194">
      <x:c r="A194" t="str">
        <x:v>SEOUL037</x:v>
      </x:c>
      <x:c r="B194" t="str">
        <x:v>Free</x:v>
      </x:c>
    </x:row>
    <x:row r="195">
      <x:c r="A195" t="str">
        <x:v>SEOUL037</x:v>
      </x:c>
      <x:c r="B195" t="str">
        <x:v>Indoor</x:v>
      </x:c>
    </x:row>
    <x:row r="196">
      <x:c r="A196" t="str">
        <x:v>SEOUL037</x:v>
      </x:c>
      <x:c r="B196" t="str">
        <x:v>Nam June Paik</x:v>
      </x:c>
    </x:row>
    <x:row r="197">
      <x:c r="A197" t="str">
        <x:v>SEOUL037</x:v>
      </x:c>
      <x:c r="B197" t="str">
        <x:v>Video Art</x:v>
      </x:c>
    </x:row>
    <x:row r="198">
      <x:c r="A198" t="str">
        <x:v>SEOUL037</x:v>
      </x:c>
      <x:c r="B198" t="str">
        <x:v>Archive</x:v>
      </x:c>
    </x:row>
    <x:row r="199">
      <x:c r="A199" t="str">
        <x:v>SEOUL037</x:v>
      </x:c>
      <x:c r="B199" t="str">
        <x:v>Hanok</x:v>
      </x:c>
    </x:row>
    <x:row r="200">
      <x:c r="A200" t="str">
        <x:v>SEOUL038</x:v>
      </x:c>
      <x:c r="B200" t="str">
        <x:v>Free</x:v>
      </x:c>
    </x:row>
    <x:row r="201">
      <x:c r="A201" t="str">
        <x:v>SEOUL038</x:v>
      </x:c>
      <x:c r="B201" t="str">
        <x:v>Indoor</x:v>
      </x:c>
    </x:row>
    <x:row r="202">
      <x:c r="A202" t="str">
        <x:v>SEOUL038</x:v>
      </x:c>
      <x:c r="B202" t="str">
        <x:v>Media Wall</x:v>
      </x:c>
    </x:row>
    <x:row r="203">
      <x:c r="A203" t="str">
        <x:v>SEOUL038</x:v>
      </x:c>
      <x:c r="B203" t="str">
        <x:v>AR</x:v>
      </x:c>
    </x:row>
    <x:row r="204">
      <x:c r="A204" t="str">
        <x:v>SEOUL038</x:v>
      </x:c>
      <x:c r="B204" t="str">
        <x:v>City Hall</x:v>
      </x:c>
    </x:row>
    <x:row r="205">
      <x:c r="A205" t="str">
        <x:v>SEOUL039</x:v>
      </x:c>
      <x:c r="B205" t="str">
        <x:v>Paid</x:v>
      </x:c>
    </x:row>
    <x:row r="206">
      <x:c r="A206" t="str">
        <x:v>SEOUL039</x:v>
      </x:c>
      <x:c r="B206" t="str">
        <x:v>Indoor</x:v>
      </x:c>
    </x:row>
    <x:row r="207">
      <x:c r="A207" t="str">
        <x:v>SEOUL039</x:v>
      </x:c>
      <x:c r="B207" t="str">
        <x:v>Exhibition</x:v>
      </x:c>
    </x:row>
    <x:row r="208">
      <x:c r="A208" t="str">
        <x:v>SEOUL039</x:v>
      </x:c>
      <x:c r="B208" t="str">
        <x:v>Architecture</x:v>
      </x:c>
    </x:row>
    <x:row r="209">
      <x:c r="A209" t="str">
        <x:v>SEOUL039</x:v>
      </x:c>
      <x:c r="B209" t="str">
        <x:v>Date</x:v>
      </x:c>
    </x:row>
    <x:row r="210">
      <x:c r="A210" t="str">
        <x:v>SEOUL040</x:v>
      </x:c>
      <x:c r="B210" t="str">
        <x:v>Paid</x:v>
      </x:c>
    </x:row>
    <x:row r="211">
      <x:c r="A211" t="str">
        <x:v>SEOUL040</x:v>
      </x:c>
      <x:c r="B211" t="str">
        <x:v>Indoor</x:v>
      </x:c>
    </x:row>
    <x:row r="212">
      <x:c r="A212" t="str">
        <x:v>SEOUL040</x:v>
      </x:c>
      <x:c r="B212" t="str">
        <x:v>Exhibition</x:v>
      </x:c>
    </x:row>
    <x:row r="213">
      <x:c r="A213" t="str">
        <x:v>SEOUL040</x:v>
      </x:c>
      <x:c r="B213" t="str">
        <x:v>Yeouido</x:v>
      </x:c>
    </x:row>
    <x:row r="214">
      <x:c r="A214" t="str">
        <x:v>SEOUL040</x:v>
      </x:c>
      <x:c r="B214" t="str">
        <x:v>Shopping</x:v>
      </x:c>
    </x:row>
    <x:row r="215">
      <x:c r="A215" t="str">
        <x:v>SEOUL041</x:v>
      </x:c>
      <x:c r="B215" t="str">
        <x:v>Paid</x:v>
      </x:c>
    </x:row>
    <x:row r="216">
      <x:c r="A216" t="str">
        <x:v>SEOUL041</x:v>
      </x:c>
      <x:c r="B216" t="str">
        <x:v>Indoor</x:v>
      </x:c>
    </x:row>
    <x:row r="217">
      <x:c r="A217" t="str">
        <x:v>SEOUL041</x:v>
      </x:c>
      <x:c r="B217" t="str">
        <x:v>Immersive</x:v>
      </x:c>
    </x:row>
    <x:row r="218">
      <x:c r="A218" t="str">
        <x:v>SEOUL041</x:v>
      </x:c>
      <x:c r="B218" t="str">
        <x:v>Exhibition</x:v>
      </x:c>
    </x:row>
    <x:row r="219">
      <x:c r="A219" t="str">
        <x:v>SEOUL042</x:v>
      </x:c>
      <x:c r="B219" t="str">
        <x:v>Paid</x:v>
      </x:c>
    </x:row>
    <x:row r="220">
      <x:c r="A220" t="str">
        <x:v>SEOUL042</x:v>
      </x:c>
      <x:c r="B220" t="str">
        <x:v>Indoor</x:v>
      </x:c>
    </x:row>
    <x:row r="221">
      <x:c r="A221" t="str">
        <x:v>SEOUL042</x:v>
      </x:c>
      <x:c r="B221" t="str">
        <x:v>Exhibition</x:v>
      </x:c>
    </x:row>
    <x:row r="222">
      <x:c r="A222" t="str">
        <x:v>SEOUL042</x:v>
      </x:c>
      <x:c r="B222" t="str">
        <x:v>Seochon</x:v>
      </x:c>
    </x:row>
    <x:row r="223">
      <x:c r="A223" t="str">
        <x:v>SEOUL043</x:v>
      </x:c>
      <x:c r="B223" t="str">
        <x:v>Night</x:v>
      </x:c>
    </x:row>
    <x:row r="224">
      <x:c r="A224" t="str">
        <x:v>SEOUL043</x:v>
      </x:c>
      <x:c r="B224" t="str">
        <x:v>Outdoor</x:v>
      </x:c>
    </x:row>
    <x:row r="225">
      <x:c r="A225" t="str">
        <x:v>SEOUL043</x:v>
      </x:c>
      <x:c r="B225" t="str">
        <x:v>Light Art</x:v>
      </x:c>
    </x:row>
    <x:row r="226">
      <x:c r="A226" t="str">
        <x:v>SEOUL043</x:v>
      </x:c>
      <x:c r="B226" t="str">
        <x:v>Architecture</x:v>
      </x:c>
    </x:row>
    <x:row r="227">
      <x:c r="A227" t="str">
        <x:v>SEOUL043</x:v>
      </x:c>
      <x:c r="B227" t="str">
        <x:v>Landmark</x:v>
      </x:c>
    </x:row>
    <x:row r="228">
      <x:c r="A228" t="str">
        <x:v>SEOUL043</x:v>
      </x:c>
      <x:c r="B228" t="str">
        <x:v>View</x:v>
      </x:c>
    </x:row>
    <x:row r="229">
      <x:c r="A229" t="str">
        <x:v>SEOUL044</x:v>
      </x:c>
      <x:c r="B229" t="str">
        <x:v>Night</x:v>
      </x:c>
    </x:row>
    <x:row r="230">
      <x:c r="A230" t="str">
        <x:v>SEOUL044</x:v>
      </x:c>
      <x:c r="B230" t="str">
        <x:v>Free</x:v>
      </x:c>
    </x:row>
    <x:row r="231">
      <x:c r="A231" t="str">
        <x:v>SEOUL044</x:v>
      </x:c>
      <x:c r="B231" t="str">
        <x:v>Outdoor</x:v>
      </x:c>
    </x:row>
    <x:row r="232">
      <x:c r="A232" t="str">
        <x:v>SEOUL044</x:v>
      </x:c>
      <x:c r="B232" t="str">
        <x:v>Light Art</x:v>
      </x:c>
    </x:row>
    <x:row r="233">
      <x:c r="A233" t="str">
        <x:v>SEOUL044</x:v>
      </x:c>
      <x:c r="B233" t="str">
        <x:v>Han River</x:v>
      </x:c>
    </x:row>
    <x:row r="234">
      <x:c r="A234" t="str">
        <x:v>SEOUL044</x:v>
      </x:c>
      <x:c r="B234" t="str">
        <x:v>Architecture</x:v>
      </x:c>
    </x:row>
    <x:row r="235">
      <x:c r="A235" t="str">
        <x:v>SEOUL045</x:v>
      </x:c>
      <x:c r="B235" t="str">
        <x:v>Night</x:v>
      </x:c>
    </x:row>
    <x:row r="236">
      <x:c r="A236" t="str">
        <x:v>SEOUL045</x:v>
      </x:c>
      <x:c r="B236" t="str">
        <x:v>Free</x:v>
      </x:c>
    </x:row>
    <x:row r="237">
      <x:c r="A237" t="str">
        <x:v>SEOUL045</x:v>
      </x:c>
      <x:c r="B237" t="str">
        <x:v>Outdoor</x:v>
      </x:c>
    </x:row>
    <x:row r="238">
      <x:c r="A238" t="str">
        <x:v>SEOUL045</x:v>
      </x:c>
      <x:c r="B238" t="str">
        <x:v>Water Art</x:v>
      </x:c>
    </x:row>
    <x:row r="239">
      <x:c r="A239" t="str">
        <x:v>SEOUL045</x:v>
      </x:c>
      <x:c r="B239" t="str">
        <x:v>Han River</x:v>
      </x:c>
    </x:row>
    <x:row r="240">
      <x:c r="A240" t="str">
        <x:v>SEOUL045</x:v>
      </x:c>
      <x:c r="B240" t="str">
        <x:v>Seasonal</x:v>
      </x:c>
    </x:row>
    <x:row r="241">
      <x:c r="A241" t="str">
        <x:v>SEOUL046</x:v>
      </x:c>
      <x:c r="B241" t="str">
        <x:v>Night</x:v>
      </x:c>
    </x:row>
    <x:row r="242">
      <x:c r="A242" t="str">
        <x:v>SEOUL046</x:v>
      </x:c>
      <x:c r="B242" t="str">
        <x:v>Free</x:v>
      </x:c>
    </x:row>
    <x:row r="243">
      <x:c r="A243" t="str">
        <x:v>SEOUL046</x:v>
      </x:c>
      <x:c r="B243" t="str">
        <x:v>Outdoor</x:v>
      </x:c>
    </x:row>
    <x:row r="244">
      <x:c r="A244" t="str">
        <x:v>SEOUL046</x:v>
      </x:c>
      <x:c r="B244" t="str">
        <x:v>Architecture</x:v>
      </x:c>
    </x:row>
    <x:row r="245">
      <x:c r="A245" t="str">
        <x:v>SEOUL046</x:v>
      </x:c>
      <x:c r="B245" t="str">
        <x:v>Walk</x:v>
      </x:c>
    </x:row>
    <x:row r="246">
      <x:c r="A246" t="str">
        <x:v>SEOUL046</x:v>
      </x:c>
      <x:c r="B246" t="str">
        <x:v>Seoul Station</x:v>
      </x:c>
    </x:row>
    <x:row r="247">
      <x:c r="A247" t="str">
        <x:v>SEOUL047</x:v>
      </x:c>
      <x:c r="B247" t="str">
        <x:v>Free</x:v>
      </x:c>
    </x:row>
    <x:row r="248">
      <x:c r="A248" t="str">
        <x:v>SEOUL047</x:v>
      </x:c>
      <x:c r="B248" t="str">
        <x:v>Outdoor</x:v>
      </x:c>
    </x:row>
    <x:row r="249">
      <x:c r="A249" t="str">
        <x:v>SEOUL047</x:v>
      </x:c>
      <x:c r="B249" t="str">
        <x:v>Light Art</x:v>
      </x:c>
    </x:row>
    <x:row r="250">
      <x:c r="A250" t="str">
        <x:v>SEOUL047</x:v>
      </x:c>
      <x:c r="B250" t="str">
        <x:v>Public Art</x:v>
      </x:c>
    </x:row>
    <x:row r="251">
      <x:c r="A251" t="str">
        <x:v>SEOUL047</x:v>
      </x:c>
      <x:c r="B251" t="str">
        <x:v>Sound Art</x:v>
      </x:c>
    </x:row>
    <x:row r="252">
      <x:c r="A252" t="str">
        <x:v>SEOUL047</x:v>
      </x:c>
      <x:c r="B252" t="str">
        <x:v>Urban Regeneration</x:v>
      </x:c>
    </x:row>
    <x:row r="253">
      <x:c r="A253" t="str">
        <x:v>SEOUL048</x:v>
      </x:c>
      <x:c r="B253" t="str">
        <x:v>Free</x:v>
      </x:c>
    </x:row>
    <x:row r="254">
      <x:c r="A254" t="str">
        <x:v>SEOUL048</x:v>
      </x:c>
      <x:c r="B254" t="str">
        <x:v>Indoor</x:v>
      </x:c>
    </x:row>
    <x:row r="255">
      <x:c r="A255" t="str">
        <x:v>SEOUL048</x:v>
      </x:c>
      <x:c r="B255" t="str">
        <x:v>Architecture</x:v>
      </x:c>
    </x:row>
    <x:row r="256">
      <x:c r="A256" t="str">
        <x:v>SEOUL048</x:v>
      </x:c>
      <x:c r="B256" t="str">
        <x:v>Library</x:v>
      </x:c>
    </x:row>
    <x:row r="257">
      <x:c r="A257" t="str">
        <x:v>SEOUL048</x:v>
      </x:c>
      <x:c r="B257" t="str">
        <x:v>Gangnam</x:v>
      </x:c>
    </x:row>
    <x:row r="258">
      <x:c r="A258" t="str">
        <x:v>SEOUL048</x:v>
      </x:c>
      <x:c r="B258" t="str">
        <x:v>Photography</x:v>
      </x:c>
    </x:row>
    <x:row r="259">
      <x:c r="A259" t="str">
        <x:v>SEOUL049</x:v>
      </x:c>
      <x:c r="B259" t="str">
        <x:v>Indoor</x:v>
      </x:c>
    </x:row>
    <x:row r="260">
      <x:c r="A260" t="str">
        <x:v>SEOUL049</x:v>
      </x:c>
      <x:c r="B260" t="str">
        <x:v>Architecture</x:v>
      </x:c>
    </x:row>
    <x:row r="261">
      <x:c r="A261" t="str">
        <x:v>SEOUL049</x:v>
      </x:c>
      <x:c r="B261" t="str">
        <x:v>Han River</x:v>
      </x:c>
    </x:row>
    <x:row r="262">
      <x:c r="A262" t="str">
        <x:v>SEOUL049</x:v>
      </x:c>
      <x:c r="B262" t="str">
        <x:v>Exhibition</x:v>
      </x:c>
    </x:row>
    <x:row r="263">
      <x:c r="A263" t="str">
        <x:v>SEOUL049</x:v>
      </x:c>
      <x:c r="B263" t="str">
        <x:v>Sunset</x:v>
      </x:c>
    </x:row>
    <x:row r="264">
      <x:c r="A264" t="str">
        <x:v>SEOUL050</x:v>
      </x:c>
      <x:c r="B264" t="str">
        <x:v>Night</x:v>
      </x:c>
    </x:row>
    <x:row r="265">
      <x:c r="A265" t="str">
        <x:v>SEOUL050</x:v>
      </x:c>
      <x:c r="B265" t="str">
        <x:v>Free</x:v>
      </x:c>
    </x:row>
    <x:row r="266">
      <x:c r="A266" t="str">
        <x:v>SEOUL050</x:v>
      </x:c>
      <x:c r="B266" t="str">
        <x:v>Outdoor</x:v>
      </x:c>
    </x:row>
    <x:row r="267">
      <x:c r="A267" t="str">
        <x:v>SEOUL050</x:v>
      </x:c>
      <x:c r="B267" t="str">
        <x:v>Light Garden</x:v>
      </x:c>
    </x:row>
    <x:row r="268">
      <x:c r="A268" t="str">
        <x:v>SEOUL050</x:v>
      </x:c>
      <x:c r="B268" t="str">
        <x:v>Media Facade</x:v>
      </x:c>
    </x:row>
    <x:row r="269">
      <x:c r="A269" t="str">
        <x:v>SEOUL050</x:v>
      </x:c>
      <x:c r="B269" t="str">
        <x:v>Family</x:v>
      </x:c>
    </x:row>
    <x:row r="270">
      <x:c r="A270" t="str">
        <x:v>SEOUL050</x:v>
      </x:c>
      <x:c r="B270" t="str">
        <x:v>Nowon</x:v>
      </x:c>
    </x:row>
  </x:sheetData>
  <x:pageMargins left="0.7" right="0.7" top="0.75" bottom="0.75" header="0.3" footer="0.3"/>
  <x:tableParts count="1">
    <x:tablePart xmlns:r="http://schemas.openxmlformats.org/officeDocument/2006/relationships" r:id="R7c86408a507c4be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8" hidden="0" customWidth="1"/>
    <x:col min="4" max="4" width="60" hidden="0" customWidth="1"/>
    <x:col min="5" max="5" width="16" hidden="0" customWidth="1"/>
    <x:col min="6" max="6" width="28" hidden="0" customWidth="1"/>
    <x:col min="7" max="7" width="18" hidden="0" customWidth="1"/>
    <x:col min="8" max="8" width="18" hidden="0" customWidth="1"/>
    <x:col min="9" max="9" width="14" hidden="0" customWidth="1"/>
  </x:cols>
  <x:sheetData>
    <x:row r="1">
      <x:c r="A1" s="28" t="str">
        <x:v>curation_id</x:v>
      </x:c>
      <x:c r="B1" s="28" t="str">
        <x:v>title</x:v>
      </x:c>
      <x:c r="C1" s="28" t="str">
        <x:v>subtitle</x:v>
      </x:c>
      <x:c r="D1" s="28" t="str">
        <x:v>description</x:v>
      </x:c>
      <x:c r="E1" s="28" t="str">
        <x:v>editor</x:v>
      </x:c>
      <x:c r="F1" s="28" t="str">
        <x:v>theme</x:v>
      </x:c>
      <x:c r="G1" s="28" t="str">
        <x:v>city</x:v>
      </x:c>
      <x:c r="H1" s="28" t="str">
        <x:v>estimated_time</x:v>
      </x:c>
      <x:c r="I1" s="28" t="str">
        <x:v>published_at</x:v>
      </x:c>
    </x:row>
    <x:row r="2">
      <x:c r="A2" s="13" t="str">
        <x:v>CUR001</x:v>
      </x:c>
      <x:c r="B2" s="13" t="str">
        <x:v>오늘 밤 무료로 보는 빛</x:v>
      </x:c>
      <x:c r="C2" s="13" t="str">
        <x:v>퇴근 후 바로 갈 수 있는 무료 야간 콘텐츠</x:v>
      </x:c>
      <x:c r="D2" s="13" t="str">
        <x:v>일몰 이후, 무료, 대중교통 접근성이 좋은 서울의 빛·미디어 공간.</x:v>
      </x:c>
      <x:c r="E2" s="13" t="str">
        <x:v>Editorial</x:v>
      </x:c>
      <x:c r="F2" s="13" t="str">
        <x:v>Night; Free</x:v>
      </x:c>
      <x:c r="G2" s="13" t="str">
        <x:v>Seoul</x:v>
      </x:c>
      <x:c r="H2" s="13" t="str">
        <x:v>2-3 hours</x:v>
      </x:c>
      <x:c r="I2" s="13" t="str">
        <x:v>2026-09-21</x:v>
      </x:c>
    </x:row>
    <x:row r="3">
      <x:c r="A3" s="13" t="str">
        <x:v>CUR002</x:v>
      </x:c>
      <x:c r="B3" s="13" t="str">
        <x:v>광화문 미디어아트 벨트</x:v>
      </x:c>
      <x:c r="C3" s="13" t="str">
        <x:v>광장부터 청계천까지 걷는 미디어 스크린 산책</x:v>
      </x:c>
      <x:c r="D3" s="13" t="str">
        <x:v>아뜰리에 광화·해치마당과 민간 전광판을 연결하는 도심 도보 코스.</x:v>
      </x:c>
      <x:c r="E3" s="13" t="str">
        <x:v>Editorial</x:v>
      </x:c>
      <x:c r="F3" s="13" t="str">
        <x:v>Media Facade; Walk</x:v>
      </x:c>
      <x:c r="G3" s="13" t="str">
        <x:v>Jongno/Jung-gu</x:v>
      </x:c>
      <x:c r="H3" s="13" t="str">
        <x:v>1.5-2 hours</x:v>
      </x:c>
      <x:c r="I3" s="13" t="str">
        <x:v>2026-09-21</x:v>
      </x:c>
    </x:row>
    <x:row r="4">
      <x:c r="A4" s="13" t="str">
        <x:v>CUR003</x:v>
      </x:c>
      <x:c r="B4" s="13" t="str">
        <x:v>서울역 빛 산책</x:v>
      </x:c>
      <x:c r="C4" s="13" t="str">
        <x:v>서울로와 미디어파사드, 근대건축을 한 번에</x:v>
      </x:c>
      <x:c r="D4" s="13" t="str">
        <x:v>서울역 주변의 미디어캔버스·야간조명·문화역을 묶는 산책 코스.</x:v>
      </x:c>
      <x:c r="E4" s="13" t="str">
        <x:v>Editorial</x:v>
      </x:c>
      <x:c r="F4" s="13" t="str">
        <x:v>Architecture; Media Art</x:v>
      </x:c>
      <x:c r="G4" s="13" t="str">
        <x:v>Jung-gu</x:v>
      </x:c>
      <x:c r="H4" s="13" t="str">
        <x:v>1.5 hours</x:v>
      </x:c>
      <x:c r="I4" s="13" t="str">
        <x:v>2026-09-21</x:v>
      </x:c>
    </x:row>
    <x:row r="5">
      <x:c r="A5" s="13" t="str">
        <x:v>CUR004</x:v>
      </x:c>
      <x:c r="B5" s="13" t="str">
        <x:v>한강의 빛</x:v>
      </x:c>
      <x:c r="C5" s="13" t="str">
        <x:v>물 위에서 보는 서울의 야간 건축</x:v>
      </x:c>
      <x:c r="D5" s="13" t="str">
        <x:v>반포의 세빛섬·무지개분수부터 노들까지 한강과 빛을 연결한다.</x:v>
      </x:c>
      <x:c r="E5" s="13" t="str">
        <x:v>Editorial</x:v>
      </x:c>
      <x:c r="F5" s="13" t="str">
        <x:v>Han River; Light Art</x:v>
      </x:c>
      <x:c r="G5" s="13" t="str">
        <x:v>Seoul</x:v>
      </x:c>
      <x:c r="H5" s="13" t="str">
        <x:v>2-4 hours</x:v>
      </x:c>
      <x:c r="I5" s="13" t="str">
        <x:v>2026-09-21</x:v>
      </x:c>
    </x:row>
    <x:row r="6">
      <x:c r="A6" s="13" t="str">
        <x:v>CUR005</x:v>
      </x:c>
      <x:c r="B6" s="13" t="str">
        <x:v>비 오는 날 실내 미디어아트</x:v>
      </x:c>
      <x:c r="C6" s="13" t="str">
        <x:v>날씨와 상관없이 몰입하기</x:v>
      </x:c>
      <x:c r="D6" s="13" t="str">
        <x:v>박물관·미술관·몰입형 전시관을 중심으로 구성한 실내 코스.</x:v>
      </x:c>
      <x:c r="E6" s="13" t="str">
        <x:v>Editorial</x:v>
      </x:c>
      <x:c r="F6" s="13" t="str">
        <x:v>Indoor; Immersive</x:v>
      </x:c>
      <x:c r="G6" s="13" t="str">
        <x:v>Seoul</x:v>
      </x:c>
      <x:c r="H6" s="13" t="str">
        <x:v>Half day</x:v>
      </x:c>
      <x:c r="I6" s="13" t="str">
        <x:v>2026-09-21</x:v>
      </x:c>
    </x:row>
    <x:row r="7">
      <x:c r="A7" s="13" t="str">
        <x:v>CUR006</x:v>
      </x:c>
      <x:c r="B7" s="13" t="str">
        <x:v>뉴미디어 미술관 입문</x:v>
      </x:c>
      <x:c r="C7" s="13" t="str">
        <x:v>기술과 예술을 제대로 보고 싶다면</x:v>
      </x:c>
      <x:c r="D7" s="13" t="str">
        <x:v>서서울미술관·MMCA·나비·백남준 거점으로 미디어아트의 현재와 역사를 연결한다.</x:v>
      </x:c>
      <x:c r="E7" s="13" t="str">
        <x:v>Editorial</x:v>
      </x:c>
      <x:c r="F7" s="13" t="str">
        <x:v>New Media; Museum</x:v>
      </x:c>
      <x:c r="G7" s="13" t="str">
        <x:v>Seoul</x:v>
      </x:c>
      <x:c r="H7" s="13" t="str">
        <x:v>1 day</x:v>
      </x:c>
      <x:c r="I7" s="13" t="str">
        <x:v>2026-09-21</x:v>
      </x:c>
    </x:row>
  </x:sheetData>
  <x:pageMargins left="0.7" right="0.7" top="0.75" bottom="0.75" header="0.3" footer="0.3"/>
  <x:tableParts count="1">
    <x:tablePart xmlns:r="http://schemas.openxmlformats.org/officeDocument/2006/relationships" r:id="R76fe15b43816485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65" hidden="0" customWidth="1"/>
  </x:cols>
  <x:sheetData>
    <x:row r="1">
      <x:c r="A1" s="28" t="str">
        <x:v>curation_id</x:v>
      </x:c>
      <x:c r="B1" s="28" t="str">
        <x:v>place_id</x:v>
      </x:c>
      <x:c r="C1" s="28" t="str">
        <x:v>order</x:v>
      </x:c>
      <x:c r="D1" s="28" t="str">
        <x:v>editor_comment</x:v>
      </x:c>
    </x:row>
    <x:row r="2">
      <x:c r="A2" s="13" t="str">
        <x:v>CUR001</x:v>
      </x:c>
      <x:c r="B2" s="13" t="str">
        <x:v>SEOUL002</x:v>
      </x:c>
      <x:c r="C2" s="13" t="n">
        <x:v>1</x:v>
      </x:c>
      <x:c r="D2" s="13" t="str">
        <x:v>광화문에서 시작하기 좋은 현재 운영 중 야간 미디어파사드.</x:v>
      </x:c>
    </x:row>
    <x:row r="3">
      <x:c r="A3" s="13" t="str">
        <x:v>CUR001</x:v>
      </x:c>
      <x:c r="B3" s="13" t="str">
        <x:v>SEOUL005</x:v>
      </x:c>
      <x:c r="C3" s="13" t="n">
        <x:v>2</x:v>
      </x:c>
      <x:c r="D3" s="13" t="str">
        <x:v>서울역 접근성이 좋고 9월 21일부터 새 전시 시작.</x:v>
      </x:c>
    </x:row>
    <x:row r="4">
      <x:c r="A4" s="13" t="str">
        <x:v>CUR001</x:v>
      </x:c>
      <x:c r="B4" s="13" t="str">
        <x:v>SEOUL007</x:v>
      </x:c>
      <x:c r="C4" s="13" t="n">
        <x:v>3</x:v>
      </x:c>
      <x:c r="D4" s="13" t="str">
        <x:v>아나몰픽 미디어아트의 대중적 대표 사례.</x:v>
      </x:c>
    </x:row>
    <x:row r="5">
      <x:c r="A5" s="13" t="str">
        <x:v>CUR001</x:v>
      </x:c>
      <x:c r="B5" s="13" t="str">
        <x:v>SEOUL008</x:v>
      </x:c>
      <x:c r="C5" s="13" t="n">
        <x:v>4</x:v>
      </x:c>
      <x:c r="D5" s="13" t="str">
        <x:v>명동 야간 방문과 결합하기 쉬운 초대형 스크린.</x:v>
      </x:c>
    </x:row>
    <x:row r="6">
      <x:c r="A6" s="13" t="str">
        <x:v>CUR001</x:v>
      </x:c>
      <x:c r="B6" s="13" t="str">
        <x:v>SEOUL021</x:v>
      </x:c>
      <x:c r="C6" s="13" t="n">
        <x:v>5</x:v>
      </x:c>
      <x:c r="D6" s="13" t="str">
        <x:v>청계천 산책과 결합되는 무료 몰입형 미디어아트.</x:v>
      </x:c>
    </x:row>
    <x:row r="7">
      <x:c r="A7" s="13" t="str">
        <x:v>CUR001</x:v>
      </x:c>
      <x:c r="B7" s="13" t="str">
        <x:v>SEOUL050</x:v>
      </x:c>
      <x:c r="C7" s="13" t="n">
        <x:v>6</x:v>
      </x:c>
      <x:c r="D7" s="13" t="str">
        <x:v>도심 밖 지역형 무료 야간 빛 콘텐츠.</x:v>
      </x:c>
    </x:row>
    <x:row r="8">
      <x:c r="A8" s="13" t="str">
        <x:v>CUR002</x:v>
      </x:c>
      <x:c r="B8" s="13" t="str">
        <x:v>SEOUL002</x:v>
      </x:c>
      <x:c r="C8" s="13" t="n">
        <x:v>1</x:v>
      </x:c>
      <x:c r="D8" s="13" t="str">
        <x:v>세종문화회관 외벽.</x:v>
      </x:c>
    </x:row>
    <x:row r="9">
      <x:c r="A9" s="13" t="str">
        <x:v>CUR002</x:v>
      </x:c>
      <x:c r="B9" s="13" t="str">
        <x:v>SEOUL003</x:v>
      </x:c>
      <x:c r="C9" s="13" t="n">
        <x:v>2</x:v>
      </x:c>
      <x:c r="D9" s="13" t="str">
        <x:v>해치마당 경사로 미디어월.</x:v>
      </x:c>
    </x:row>
    <x:row r="10">
      <x:c r="A10" s="13" t="str">
        <x:v>CUR002</x:v>
      </x:c>
      <x:c r="B10" s="13" t="str">
        <x:v>SEOUL011</x:v>
      </x:c>
      <x:c r="C10" s="13" t="n">
        <x:v>3</x:v>
      </x:c>
      <x:c r="D10" s="13" t="str">
        <x:v>광화문 민간 DOOH.</x:v>
      </x:c>
    </x:row>
    <x:row r="11">
      <x:c r="A11" s="13" t="str">
        <x:v>CUR002</x:v>
      </x:c>
      <x:c r="B11" s="13" t="str">
        <x:v>SEOUL012</x:v>
      </x:c>
      <x:c r="C11" s="13" t="n">
        <x:v>4</x:v>
      </x:c>
      <x:c r="D11" s="13" t="str">
        <x:v>코리아나호텔 K-비전.</x:v>
      </x:c>
    </x:row>
    <x:row r="12">
      <x:c r="A12" s="13" t="str">
        <x:v>CUR002</x:v>
      </x:c>
      <x:c r="B12" s="13" t="str">
        <x:v>SEOUL015</x:v>
      </x:c>
      <x:c r="C12" s="13" t="n">
        <x:v>5</x:v>
      </x:c>
      <x:c r="D12" s="13" t="str">
        <x:v>일민미술관과 도시 스크린.</x:v>
      </x:c>
    </x:row>
    <x:row r="13">
      <x:c r="A13" s="13" t="str">
        <x:v>CUR002</x:v>
      </x:c>
      <x:c r="B13" s="13" t="str">
        <x:v>SEOUL014</x:v>
      </x:c>
      <x:c r="C13" s="13" t="n">
        <x:v>6</x:v>
      </x:c>
      <x:c r="D13" s="13" t="str">
        <x:v>청계천 방향 LUUX.</x:v>
      </x:c>
    </x:row>
    <x:row r="14">
      <x:c r="A14" s="13" t="str">
        <x:v>CUR002</x:v>
      </x:c>
      <x:c r="B14" s="13" t="str">
        <x:v>SEOUL020</x:v>
      </x:c>
      <x:c r="C14" s="13" t="n">
        <x:v>7</x:v>
      </x:c>
      <x:c r="D14" s="13" t="str">
        <x:v>실내 무료 HiKR Ground.</x:v>
      </x:c>
    </x:row>
    <x:row r="15">
      <x:c r="A15" s="13" t="str">
        <x:v>CUR002</x:v>
      </x:c>
      <x:c r="B15" s="13" t="str">
        <x:v>SEOUL021</x:v>
      </x:c>
      <x:c r="C15" s="13" t="n">
        <x:v>8</x:v>
      </x:c>
      <x:c r="D15" s="13" t="str">
        <x:v>청계천 야간 미디어아트로 마무리.</x:v>
      </x:c>
    </x:row>
    <x:row r="16">
      <x:c r="A16" s="13" t="str">
        <x:v>CUR003</x:v>
      </x:c>
      <x:c r="B16" s="13" t="str">
        <x:v>SEOUL005</x:v>
      </x:c>
      <x:c r="C16" s="13" t="n">
        <x:v>1</x:v>
      </x:c>
      <x:c r="D16" s="13" t="str">
        <x:v>서울로미디어캔버스.</x:v>
      </x:c>
    </x:row>
    <x:row r="17">
      <x:c r="A17" s="13" t="str">
        <x:v>CUR003</x:v>
      </x:c>
      <x:c r="B17" s="13" t="str">
        <x:v>SEOUL010</x:v>
      </x:c>
      <x:c r="C17" s="13" t="n">
        <x:v>2</x:v>
      </x:c>
      <x:c r="D17" s="13" t="str">
        <x:v>서울스퀘어 미디어파사드.</x:v>
      </x:c>
    </x:row>
    <x:row r="18">
      <x:c r="A18" s="13" t="str">
        <x:v>CUR003</x:v>
      </x:c>
      <x:c r="B18" s="13" t="str">
        <x:v>SEOUL046</x:v>
      </x:c>
      <x:c r="C18" s="13" t="n">
        <x:v>3</x:v>
      </x:c>
      <x:c r="D18" s="13" t="str">
        <x:v>서울로7017 야간조명.</x:v>
      </x:c>
    </x:row>
    <x:row r="19">
      <x:c r="A19" s="13" t="str">
        <x:v>CUR003</x:v>
      </x:c>
      <x:c r="B19" s="13" t="str">
        <x:v>SEOUL031</x:v>
      </x:c>
      <x:c r="C19" s="13" t="n">
        <x:v>4</x:v>
      </x:c>
      <x:c r="D19" s="13" t="str">
        <x:v>문화역서울284.</x:v>
      </x:c>
    </x:row>
    <x:row r="20">
      <x:c r="A20" s="13" t="str">
        <x:v>CUR004</x:v>
      </x:c>
      <x:c r="B20" s="13" t="str">
        <x:v>SEOUL044</x:v>
      </x:c>
      <x:c r="C20" s="13" t="n">
        <x:v>1</x:v>
      </x:c>
      <x:c r="D20" s="13" t="str">
        <x:v>세빛섬.</x:v>
      </x:c>
    </x:row>
    <x:row r="21">
      <x:c r="A21" s="13" t="str">
        <x:v>CUR004</x:v>
      </x:c>
      <x:c r="B21" s="13" t="str">
        <x:v>SEOUL045</x:v>
      </x:c>
      <x:c r="C21" s="13" t="n">
        <x:v>2</x:v>
      </x:c>
      <x:c r="D21" s="13" t="str">
        <x:v>반포대교 무지개분수.</x:v>
      </x:c>
    </x:row>
    <x:row r="22">
      <x:c r="A22" s="13" t="str">
        <x:v>CUR004</x:v>
      </x:c>
      <x:c r="B22" s="13" t="str">
        <x:v>SEOUL049</x:v>
      </x:c>
      <x:c r="C22" s="13" t="n">
        <x:v>3</x:v>
      </x:c>
      <x:c r="D22" s="13" t="str">
        <x:v>서울웨이브 아트센터.</x:v>
      </x:c>
    </x:row>
    <x:row r="23">
      <x:c r="A23" s="13" t="str">
        <x:v>CUR004</x:v>
      </x:c>
      <x:c r="B23" s="13" t="str">
        <x:v>SEOUL001</x:v>
      </x:c>
      <x:c r="C23" s="13" t="n">
        <x:v>4</x:v>
      </x:c>
      <x:c r="D23" s="13" t="str">
        <x:v>아뜰리에 노들.</x:v>
      </x:c>
    </x:row>
    <x:row r="24">
      <x:c r="A24" s="13" t="str">
        <x:v>CUR005</x:v>
      </x:c>
      <x:c r="B24" s="13" t="str">
        <x:v>SEOUL020</x:v>
      </x:c>
      <x:c r="C24" s="13" t="n">
        <x:v>1</x:v>
      </x:c>
      <x:c r="D24" s="13" t="str">
        <x:v>무료 미디어·인터랙티브.</x:v>
      </x:c>
    </x:row>
    <x:row r="25">
      <x:c r="A25" s="13" t="str">
        <x:v>CUR005</x:v>
      </x:c>
      <x:c r="B25" s="13" t="str">
        <x:v>SEOUL022</x:v>
      </x:c>
      <x:c r="C25" s="13" t="n">
        <x:v>2</x:v>
      </x:c>
      <x:c r="D25" s="13" t="str">
        <x:v>공공 박물관 실감 콘텐츠.</x:v>
      </x:c>
    </x:row>
    <x:row r="26">
      <x:c r="A26" s="13" t="str">
        <x:v>CUR005</x:v>
      </x:c>
      <x:c r="B26" s="13" t="str">
        <x:v>SEOUL023</x:v>
      </x:c>
      <x:c r="C26" s="13" t="n">
        <x:v>3</x:v>
      </x:c>
      <x:c r="D26" s="13" t="str">
        <x:v>대형 몰입형 프로젝션.</x:v>
      </x:c>
    </x:row>
    <x:row r="27">
      <x:c r="A27" s="13" t="str">
        <x:v>CUR005</x:v>
      </x:c>
      <x:c r="B27" s="13" t="str">
        <x:v>SEOUL024</x:v>
      </x:c>
      <x:c r="C27" s="13" t="n">
        <x:v>4</x:v>
      </x:c>
      <x:c r="D27" s="13" t="str">
        <x:v>뉴미디어 특화 공공미술관.</x:v>
      </x:c>
    </x:row>
    <x:row r="28">
      <x:c r="A28" s="13" t="str">
        <x:v>CUR005</x:v>
      </x:c>
      <x:c r="B28" s="13" t="str">
        <x:v>SEOUL025</x:v>
      </x:c>
      <x:c r="C28" s="13" t="n">
        <x:v>5</x:v>
      </x:c>
      <x:c r="D28" s="13" t="str">
        <x:v>현재 OLED 기반 대형 설치.</x:v>
      </x:c>
    </x:row>
    <x:row r="29">
      <x:c r="A29" s="13" t="str">
        <x:v>CUR006</x:v>
      </x:c>
      <x:c r="B29" s="13" t="str">
        <x:v>SEOUL037</x:v>
      </x:c>
      <x:c r="C29" s="13" t="n">
        <x:v>1</x:v>
      </x:c>
      <x:c r="D29" s="13" t="str">
        <x:v>백남준과 미디어아트의 역사.</x:v>
      </x:c>
    </x:row>
    <x:row r="30">
      <x:c r="A30" s="13" t="str">
        <x:v>CUR006</x:v>
      </x:c>
      <x:c r="B30" s="13" t="str">
        <x:v>SEOUL026</x:v>
      </x:c>
      <x:c r="C30" s="13" t="n">
        <x:v>2</x:v>
      </x:c>
      <x:c r="D30" s="13" t="str">
        <x:v>한국 미디어아트 전문기관.</x:v>
      </x:c>
    </x:row>
    <x:row r="31">
      <x:c r="A31" s="13" t="str">
        <x:v>CUR006</x:v>
      </x:c>
      <x:c r="B31" s="13" t="str">
        <x:v>SEOUL024</x:v>
      </x:c>
      <x:c r="C31" s="13" t="n">
        <x:v>3</x:v>
      </x:c>
      <x:c r="D31" s="13" t="str">
        <x:v>뉴미디어 특화 공공미술관.</x:v>
      </x:c>
    </x:row>
    <x:row r="32">
      <x:c r="A32" s="13" t="str">
        <x:v>CUR006</x:v>
      </x:c>
      <x:c r="B32" s="13" t="str">
        <x:v>SEOUL025</x:v>
      </x:c>
      <x:c r="C32" s="13" t="n">
        <x:v>4</x:v>
      </x:c>
      <x:c r="D32" s="13" t="str">
        <x:v>국립미술관의 기술·예술 프로젝트.</x:v>
      </x:c>
    </x:row>
    <x:row r="33">
      <x:c r="A33" s="13" t="str">
        <x:v>CUR006</x:v>
      </x:c>
      <x:c r="B33" s="13" t="str">
        <x:v>SEOUL035</x:v>
      </x:c>
      <x:c r="C33" s="13" t="n">
        <x:v>5</x:v>
      </x:c>
      <x:c r="D33" s="13" t="str">
        <x:v>서울미디어시티비엔날레의 핵심 거점.</x:v>
      </x:c>
    </x:row>
  </x:sheetData>
  <x:pageMargins left="0.7" right="0.7" top="0.75" bottom="0.75" header="0.3" footer="0.3"/>
  <x:tableParts count="1">
    <x:tablePart xmlns:r="http://schemas.openxmlformats.org/officeDocument/2006/relationships" r:id="Re6776a88aadd4bf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35" hidden="0" customWidth="1"/>
    <x:col min="6" max="6" width="24" hidden="0" customWidth="1"/>
    <x:col min="7" max="7" width="70" hidden="0" customWidth="1"/>
    <x:col min="8" max="8" width="14" hidden="0" customWidth="1"/>
    <x:col min="9" max="9" width="14" hidden="0" customWidth="1"/>
    <x:col min="10" max="10" width="55" hidden="0" customWidth="1"/>
  </x:cols>
  <x:sheetData>
    <x:row r="1">
      <x:c r="A1" s="28" t="str">
        <x:v>source_id</x:v>
      </x:c>
      <x:c r="B1" s="28" t="str">
        <x:v>place_id</x:v>
      </x:c>
      <x:c r="C1" s="28" t="str">
        <x:v>work_id</x:v>
      </x:c>
      <x:c r="D1" s="28" t="str">
        <x:v>source_type</x:v>
      </x:c>
      <x:c r="E1" s="28" t="str">
        <x:v>title</x:v>
      </x:c>
      <x:c r="F1" s="28" t="str">
        <x:v>publisher</x:v>
      </x:c>
      <x:c r="G1" s="28" t="str">
        <x:v>url</x:v>
      </x:c>
      <x:c r="H1" s="28" t="str">
        <x:v>published_date</x:v>
      </x:c>
      <x:c r="I1" s="28" t="str">
        <x:v>checked_date</x:v>
      </x:c>
      <x:c r="J1" s="28" t="str">
        <x:v>notes</x:v>
      </x:c>
    </x:row>
    <x:row r="2">
      <x:c r="A2" s="13" t="str">
        <x:v>SRC001</x:v>
      </x:c>
      <x:c r="B2" s="13" t="str">
        <x:v>SEOUL001</x:v>
      </x:c>
      <x:c r="C2" s="13" t="str"/>
      <x:c r="D2" s="13" t="str">
        <x:v>web</x:v>
      </x:c>
      <x:c r="E2" s="13" t="str">
        <x:v>아뜰리에 노들 검증 출처</x:v>
      </x:c>
      <x:c r="F2" s="13" t="str">
        <x:v>서울특별시</x:v>
      </x:c>
      <x:c r="G2" s="13" t="str">
        <x:v>https://news.seoul.go.kr/culture/archives/category/cityscape-news_c1/media-art-seoul_c1/mediart-exhibit-platform-n1</x:v>
      </x:c>
      <x:c r="H2" s="13" t="str"/>
      <x:c r="I2" s="13" t="str">
        <x:v>2026-09-21</x:v>
      </x:c>
      <x:c r="J2" s="13" t="str">
        <x:v>v0.1 장소 후보 검증. verification=high, status=active_rotation</x:v>
      </x:c>
    </x:row>
    <x:row r="3">
      <x:c r="A3" s="13" t="str">
        <x:v>SRC002</x:v>
      </x:c>
      <x:c r="B3" s="13" t="str">
        <x:v>SEOUL002</x:v>
      </x:c>
      <x:c r="C3" s="13" t="str"/>
      <x:c r="D3" s="13" t="str">
        <x:v>web</x:v>
      </x:c>
      <x:c r="E3" s="13" t="str">
        <x:v>아뜰리에 광화 검증 출처</x:v>
      </x:c>
      <x:c r="F3" s="13" t="str">
        <x:v>서울특별시</x:v>
      </x:c>
      <x:c r="G3" s="13" t="str">
        <x:v>https://news.seoul.go.kr/culture/archives/category/cityscape-news_c1/media-art-seoul_c1/mediart-exhibit-platform-n1</x:v>
      </x:c>
      <x:c r="H3" s="13" t="str"/>
      <x:c r="I3" s="13" t="str">
        <x:v>2026-09-21</x:v>
      </x:c>
      <x:c r="J3" s="13" t="str">
        <x:v>v0.1 장소 후보 검증. verification=high, status=active</x:v>
      </x:c>
    </x:row>
    <x:row r="4">
      <x:c r="A4" s="13" t="str">
        <x:v>SRC003</x:v>
      </x:c>
      <x:c r="B4" s="13" t="str">
        <x:v>SEOUL003</x:v>
      </x:c>
      <x:c r="C4" s="13" t="str"/>
      <x:c r="D4" s="13" t="str">
        <x:v>web</x:v>
      </x:c>
      <x:c r="E4" s="13" t="str">
        <x:v>해치마당 미디어월 검증 출처</x:v>
      </x:c>
      <x:c r="F4" s="13" t="str">
        <x:v>서울특별시</x:v>
      </x:c>
      <x:c r="G4" s="13" t="str">
        <x:v>https://news.seoul.go.kr/culture/archives/category/cityscape-news_c1/media-art-seoul_c1/mediart-exhibit-platform-n1</x:v>
      </x:c>
      <x:c r="H4" s="13" t="str"/>
      <x:c r="I4" s="13" t="str">
        <x:v>2026-09-21</x:v>
      </x:c>
      <x:c r="J4" s="13" t="str">
        <x:v>v0.1 장소 후보 검증. verification=high, status=active</x:v>
      </x:c>
    </x:row>
    <x:row r="5">
      <x:c r="A5" s="13" t="str">
        <x:v>SRC004</x:v>
      </x:c>
      <x:c r="B5" s="13" t="str">
        <x:v>SEOUL004</x:v>
      </x:c>
      <x:c r="C5" s="13" t="str"/>
      <x:c r="D5" s="13" t="str">
        <x:v>web</x:v>
      </x:c>
      <x:c r="E5" s="13" t="str">
        <x:v>오간수교 미디어파사드 검증 출처</x:v>
      </x:c>
      <x:c r="F5" s="13" t="str">
        <x:v>서울특별시</x:v>
      </x:c>
      <x:c r="G5" s="13" t="str">
        <x:v>https://news.seoul.go.kr/culture/archives/category/cityscape-news_c1/media-art-seoul_c1/mediart-exhibit-platform-n1</x:v>
      </x:c>
      <x:c r="H5" s="13" t="str"/>
      <x:c r="I5" s="13" t="str">
        <x:v>2026-09-21</x:v>
      </x:c>
      <x:c r="J5" s="13" t="str">
        <x:v>v0.1 장소 후보 검증. verification=high, status=active_rotation</x:v>
      </x:c>
    </x:row>
    <x:row r="6">
      <x:c r="A6" s="13" t="str">
        <x:v>SRC005</x:v>
      </x:c>
      <x:c r="B6" s="13" t="str">
        <x:v>SEOUL005</x:v>
      </x:c>
      <x:c r="C6" s="13" t="str"/>
      <x:c r="D6" s="13" t="str">
        <x:v>web</x:v>
      </x:c>
      <x:c r="E6" s="13" t="str">
        <x:v>서울로미디어캔버스 검증 출처</x:v>
      </x:c>
      <x:c r="F6" s="13" t="str">
        <x:v>서울특별시</x:v>
      </x:c>
      <x:c r="G6" s="13" t="str">
        <x:v>https://news.seoul.go.kr/culture/archives/category/cityscape-news_c1/media-art-seoul_c1/mediart-exhibit-platform-n1</x:v>
      </x:c>
      <x:c r="H6" s="13" t="str"/>
      <x:c r="I6" s="13" t="str">
        <x:v>2026-09-21</x:v>
      </x:c>
      <x:c r="J6" s="13" t="str">
        <x:v>v0.1 장소 후보 검증. verification=high, status=active</x:v>
      </x:c>
    </x:row>
    <x:row r="7">
      <x:c r="A7" s="13" t="str">
        <x:v>SRC006</x:v>
      </x:c>
      <x:c r="B7" s="13" t="str">
        <x:v>SEOUL006</x:v>
      </x:c>
      <x:c r="C7" s="13" t="str"/>
      <x:c r="D7" s="13" t="str">
        <x:v>web</x:v>
      </x:c>
      <x:c r="E7" s="13" t="str">
        <x:v>동대문디자인플라자(DDP) / 서울라이트 검증 출처</x:v>
      </x:c>
      <x:c r="F7" s="13" t="str">
        <x:v>서울특별시</x:v>
      </x:c>
      <x:c r="G7" s="13" t="str">
        <x:v>https://mediahub.seoul.go.kr/archives/2019251</x:v>
      </x:c>
      <x:c r="H7" s="13" t="str"/>
      <x:c r="I7" s="13" t="str">
        <x:v>2026-09-21</x:v>
      </x:c>
      <x:c r="J7" s="13" t="str">
        <x:v>v0.1 장소 후보 검증. verification=high, status=seasonal</x:v>
      </x:c>
    </x:row>
    <x:row r="8">
      <x:c r="A8" s="13" t="str">
        <x:v>SRC007</x:v>
      </x:c>
      <x:c r="B8" s="13" t="str">
        <x:v>SEOUL007</x:v>
      </x:c>
      <x:c r="C8" s="13" t="str"/>
      <x:c r="D8" s="13" t="str">
        <x:v>web</x:v>
      </x:c>
      <x:c r="E8" s="13" t="str">
        <x:v>코엑스 K-POP 스퀘어 WAVE 검증 출처</x:v>
      </x:c>
      <x:c r="F8" s="13" t="str">
        <x:v>서울관광재단</x:v>
      </x:c>
      <x:c r="G8" s="13" t="str">
        <x:v>https://english.visitseoul.net/area/COEXK-POPSquare/ENPnj8f9x</x:v>
      </x:c>
      <x:c r="H8" s="13" t="str"/>
      <x:c r="I8" s="13" t="str">
        <x:v>2026-09-21</x:v>
      </x:c>
      <x:c r="J8" s="13" t="str">
        <x:v>v0.1 장소 후보 검증. verification=high, status=active</x:v>
      </x:c>
    </x:row>
    <x:row r="9">
      <x:c r="A9" s="13" t="str">
        <x:v>SRC008</x:v>
      </x:c>
      <x:c r="B9" s="13" t="str">
        <x:v>SEOUL008</x:v>
      </x:c>
      <x:c r="C9" s="13" t="str"/>
      <x:c r="D9" s="13" t="str">
        <x:v>web</x:v>
      </x:c>
      <x:c r="E9" s="13" t="str">
        <x:v>신세계스퀘어 검증 출처</x:v>
      </x:c>
      <x:c r="F9" s="13" t="str">
        <x:v>신세계그룹</x:v>
      </x:c>
      <x:c r="G9" s="13" t="str">
        <x:v>https://www.shinsegaegroupnewsroom.com/shinsegae-square-seoul-new-landmark/</x:v>
      </x:c>
      <x:c r="H9" s="13" t="str"/>
      <x:c r="I9" s="13" t="str">
        <x:v>2026-09-21</x:v>
      </x:c>
      <x:c r="J9" s="13" t="str">
        <x:v>v0.1 장소 후보 검증. verification=high, status=active</x:v>
      </x:c>
    </x:row>
    <x:row r="10">
      <x:c r="A10" s="13" t="str">
        <x:v>SRC009</x:v>
      </x:c>
      <x:c r="B10" s="13" t="str">
        <x:v>SEOUL009</x:v>
      </x:c>
      <x:c r="C10" s="13" t="str"/>
      <x:c r="D10" s="13" t="str">
        <x:v>web</x:v>
      </x:c>
      <x:c r="E10" s="13" t="str">
        <x:v>갤러리아 명품관 WEST 미디어파사드 검증 출처</x:v>
      </x:c>
      <x:c r="F10" s="13" t="str">
        <x:v>갤러리아</x:v>
      </x:c>
      <x:c r="G10" s="13" t="str">
        <x:v>https://dept.galleria.co.kr/store-info/luxuryhall/intro</x:v>
      </x:c>
      <x:c r="H10" s="13" t="str"/>
      <x:c r="I10" s="13" t="str">
        <x:v>2026-09-21</x:v>
      </x:c>
      <x:c r="J10" s="13" t="str">
        <x:v>v0.1 장소 후보 검증. verification=high, status=active</x:v>
      </x:c>
    </x:row>
    <x:row r="11">
      <x:c r="A11" s="13" t="str">
        <x:v>SRC010</x:v>
      </x:c>
      <x:c r="B11" s="13" t="str">
        <x:v>SEOUL010</x:v>
      </x:c>
      <x:c r="C11" s="13" t="str"/>
      <x:c r="D11" s="13" t="str">
        <x:v>web</x:v>
      </x:c>
      <x:c r="E11" s="13" t="str">
        <x:v>서울스퀘어 미디어 캔버스 검증 출처</x:v>
      </x:c>
      <x:c r="F11" s="13" t="str">
        <x:v>정림건축</x:v>
      </x:c>
      <x:c r="G11" s="13" t="str">
        <x:v>https://junglim.com/en/seoul-square/</x:v>
      </x:c>
      <x:c r="H11" s="13" t="str"/>
      <x:c r="I11" s="13" t="str">
        <x:v>2026-09-21</x:v>
      </x:c>
      <x:c r="J11" s="13" t="str">
        <x:v>v0.1 장소 후보 검증. verification=medium, status=verify_schedule</x:v>
      </x:c>
    </x:row>
    <x:row r="12">
      <x:c r="A12" s="13" t="str">
        <x:v>SRC011</x:v>
      </x:c>
      <x:c r="B12" s="13" t="str">
        <x:v>SEOUL011</x:v>
      </x:c>
      <x:c r="C12" s="13" t="str"/>
      <x:c r="D12" s="13" t="str">
        <x:v>web</x:v>
      </x:c>
      <x:c r="E12" s="13" t="str">
        <x:v>KT스퀘어 옥외전광판 검증 출처</x:v>
      </x:c>
      <x:c r="F12" s="13" t="str">
        <x:v>서울특별시</x:v>
      </x:c>
      <x:c r="G12" s="13" t="str">
        <x:v>https://www.seoul.go.kr/news/news_report.do?nttNo=464925</x:v>
      </x:c>
      <x:c r="H12" s="13" t="str"/>
      <x:c r="I12" s="13" t="str">
        <x:v>2026-09-21</x:v>
      </x:c>
      <x:c r="J12" s="13" t="str">
        <x:v>v0.1 장소 후보 검증. verification=high, status=active_display</x:v>
      </x:c>
    </x:row>
    <x:row r="13">
      <x:c r="A13" s="13" t="str">
        <x:v>SRC012</x:v>
      </x:c>
      <x:c r="B13" s="13" t="str">
        <x:v>SEOUL012</x:v>
      </x:c>
      <x:c r="C13" s="13" t="str"/>
      <x:c r="D13" s="13" t="str">
        <x:v>web</x:v>
      </x:c>
      <x:c r="E13" s="13" t="str">
        <x:v>K-비전(코리아나호텔) 검증 출처</x:v>
      </x:c>
      <x:c r="F13" s="13" t="str">
        <x:v>서울특별시</x:v>
      </x:c>
      <x:c r="G13" s="13" t="str">
        <x:v>https://www.seoul.go.kr/news/news_report.do?nttNo=464925</x:v>
      </x:c>
      <x:c r="H13" s="13" t="str"/>
      <x:c r="I13" s="13" t="str">
        <x:v>2026-09-21</x:v>
      </x:c>
      <x:c r="J13" s="13" t="str">
        <x:v>v0.1 장소 후보 검증. verification=high, status=active_display</x:v>
      </x:c>
    </x:row>
    <x:row r="14">
      <x:c r="A14" s="13" t="str">
        <x:v>SRC013</x:v>
      </x:c>
      <x:c r="B14" s="13" t="str">
        <x:v>SEOUL013</x:v>
      </x:c>
      <x:c r="C14" s="13" t="str"/>
      <x:c r="D14" s="13" t="str">
        <x:v>web</x:v>
      </x:c>
      <x:c r="E14" s="13" t="str">
        <x:v>루미 미디어(세광빌딩) 검증 출처</x:v>
      </x:c>
      <x:c r="F14" s="13" t="str">
        <x:v>서울특별시</x:v>
      </x:c>
      <x:c r="G14" s="13" t="str">
        <x:v>https://www.seoul.go.kr/news/news_report.do?nttNo=464925</x:v>
      </x:c>
      <x:c r="H14" s="13" t="str"/>
      <x:c r="I14" s="13" t="str">
        <x:v>2026-09-21</x:v>
      </x:c>
      <x:c r="J14" s="13" t="str">
        <x:v>v0.1 장소 후보 검증. verification=high, status=active_display</x:v>
      </x:c>
    </x:row>
    <x:row r="15">
      <x:c r="A15" s="13" t="str">
        <x:v>SRC014</x:v>
      </x:c>
      <x:c r="B15" s="13" t="str">
        <x:v>SEOUL014</x:v>
      </x:c>
      <x:c r="C15" s="13" t="str"/>
      <x:c r="D15" s="13" t="str">
        <x:v>web</x:v>
      </x:c>
      <x:c r="E15" s="13" t="str">
        <x:v>LUUX(동아일보) 검증 출처</x:v>
      </x:c>
      <x:c r="F15" s="13" t="str">
        <x:v>서울특별시</x:v>
      </x:c>
      <x:c r="G15" s="13" t="str">
        <x:v>https://www.seoul.go.kr/news/news_report.do?nttNo=464925</x:v>
      </x:c>
      <x:c r="H15" s="13" t="str"/>
      <x:c r="I15" s="13" t="str">
        <x:v>2026-09-21</x:v>
      </x:c>
      <x:c r="J15" s="13" t="str">
        <x:v>v0.1 장소 후보 검증. verification=high, status=active_display</x:v>
      </x:c>
    </x:row>
    <x:row r="16">
      <x:c r="A16" s="13" t="str">
        <x:v>SRC015</x:v>
      </x:c>
      <x:c r="B16" s="13" t="str">
        <x:v>SEOUL015</x:v>
      </x:c>
      <x:c r="C16" s="13" t="str"/>
      <x:c r="D16" s="13" t="str">
        <x:v>web</x:v>
      </x:c>
      <x:c r="E16" s="13" t="str">
        <x:v>일민미술관 옥외전광판 검증 출처</x:v>
      </x:c>
      <x:c r="F16" s="13" t="str">
        <x:v>서울특별시</x:v>
      </x:c>
      <x:c r="G16" s="13" t="str">
        <x:v>https://www.seoul.go.kr/news/news_report.do?nttNo=464925</x:v>
      </x:c>
      <x:c r="H16" s="13" t="str"/>
      <x:c r="I16" s="13" t="str">
        <x:v>2026-09-21</x:v>
      </x:c>
      <x:c r="J16" s="13" t="str">
        <x:v>v0.1 장소 후보 검증. verification=high, status=active_display</x:v>
      </x:c>
    </x:row>
    <x:row r="17">
      <x:c r="A17" s="13" t="str">
        <x:v>SRC016</x:v>
      </x:c>
      <x:c r="B17" s="13" t="str">
        <x:v>SEOUL016</x:v>
      </x:c>
      <x:c r="C17" s="13" t="str"/>
      <x:c r="D17" s="13" t="str">
        <x:v>web</x:v>
      </x:c>
      <x:c r="E17" s="13" t="str">
        <x:v>서울로봇인공지능과학관 미디어파사드 검증 출처</x:v>
      </x:c>
      <x:c r="F17" s="13" t="str">
        <x:v>서울특별시</x:v>
      </x:c>
      <x:c r="G17" s="13" t="str">
        <x:v>https://science.seoul.go.kr/RAIM/index.do</x:v>
      </x:c>
      <x:c r="H17" s="13" t="str"/>
      <x:c r="I17" s="13" t="str">
        <x:v>2026-09-21</x:v>
      </x:c>
      <x:c r="J17" s="13" t="str">
        <x:v>v0.1 장소 후보 검증. verification=high, status=active</x:v>
      </x:c>
    </x:row>
    <x:row r="18">
      <x:c r="A18" s="13" t="str">
        <x:v>SRC017</x:v>
      </x:c>
      <x:c r="B18" s="13" t="str">
        <x:v>SEOUL017</x:v>
      </x:c>
      <x:c r="C18" s="13" t="str"/>
      <x:c r="D18" s="13" t="str">
        <x:v>web</x:v>
      </x:c>
      <x:c r="E18" s="13" t="str">
        <x:v>마곡 르웨스트 미디어파사드 검증 출처</x:v>
      </x:c>
      <x:c r="F18" s="13" t="str">
        <x:v>MUSE Design Awards</x:v>
      </x:c>
      <x:c r="G18" s="13" t="str">
        <x:v>https://www.museaward.com/winner-info.php?id=238243</x:v>
      </x:c>
      <x:c r="H18" s="13" t="str"/>
      <x:c r="I18" s="13" t="str">
        <x:v>2026-09-21</x:v>
      </x:c>
      <x:c r="J18" s="13" t="str">
        <x:v>v0.1 장소 후보 검증. verification=medium, status=active_display</x:v>
      </x:c>
    </x:row>
    <x:row r="19">
      <x:c r="A19" s="13" t="str">
        <x:v>SRC018</x:v>
      </x:c>
      <x:c r="B19" s="13" t="str">
        <x:v>SEOUL018</x:v>
      </x:c>
      <x:c r="C19" s="13" t="str"/>
      <x:c r="D19" s="13" t="str">
        <x:v>web</x:v>
      </x:c>
      <x:c r="E19" s="13" t="str">
        <x:v>롯데월드타워 미디어파사드 검증 출처</x:v>
      </x:c>
      <x:c r="F19" s="13" t="str">
        <x:v>Cosmic Ray / Lotte project</x:v>
      </x:c>
      <x:c r="G19" s="13" t="str">
        <x:v>https://cosmic-ray.tv/LOTTE-WORLD-TOWER-Media-Art-Project-2025</x:v>
      </x:c>
      <x:c r="H19" s="13" t="str"/>
      <x:c r="I19" s="13" t="str">
        <x:v>2026-09-21</x:v>
      </x:c>
      <x:c r="J19" s="13" t="str">
        <x:v>v0.1 장소 후보 검증. verification=medium, status=active_event</x:v>
      </x:c>
    </x:row>
    <x:row r="20">
      <x:c r="A20" s="13" t="str">
        <x:v>SRC019</x:v>
      </x:c>
      <x:c r="B20" s="13" t="str">
        <x:v>SEOUL019</x:v>
      </x:c>
      <x:c r="C20" s="13" t="str"/>
      <x:c r="D20" s="13" t="str">
        <x:v>web</x:v>
      </x:c>
      <x:c r="E20" s="13" t="str">
        <x:v>롯데타운 라이트(영플라자) 검증 출처</x:v>
      </x:c>
      <x:c r="F20" s="13" t="str">
        <x:v>서울신문</x:v>
      </x:c>
      <x:c r="G20" s="13" t="str">
        <x:v>https://m.go.seoul.co.kr/news/economy/distribution/2026/07/31/20260731031005</x:v>
      </x:c>
      <x:c r="H20" s="13" t="str"/>
      <x:c r="I20" s="13" t="str">
        <x:v>2026-09-21</x:v>
      </x:c>
      <x:c r="J20" s="13" t="str">
        <x:v>v0.1 장소 후보 검증. verification=high, status=upcoming</x:v>
      </x:c>
    </x:row>
    <x:row r="21">
      <x:c r="A21" s="13" t="str">
        <x:v>SRC020</x:v>
      </x:c>
      <x:c r="B21" s="13" t="str">
        <x:v>SEOUL020</x:v>
      </x:c>
      <x:c r="C21" s="13" t="str"/>
      <x:c r="D21" s="13" t="str">
        <x:v>web</x:v>
      </x:c>
      <x:c r="E21" s="13" t="str">
        <x:v>하이커 그라운드 검증 출처</x:v>
      </x:c>
      <x:c r="F21" s="13" t="str">
        <x:v>한국관광공사</x:v>
      </x:c>
      <x:c r="G21" s="13" t="str">
        <x:v>https://english.visitkorea.or.kr/svc/contents/contentsView.do?vcontsId=31124</x:v>
      </x:c>
      <x:c r="H21" s="13" t="str"/>
      <x:c r="I21" s="13" t="str">
        <x:v>2026-09-21</x:v>
      </x:c>
      <x:c r="J21" s="13" t="str">
        <x:v>v0.1 장소 후보 검증. verification=high, status=active</x:v>
      </x:c>
    </x:row>
    <x:row r="22">
      <x:c r="A22" s="13" t="str">
        <x:v>SRC021</x:v>
      </x:c>
      <x:c r="B22" s="13" t="str">
        <x:v>SEOUL021</x:v>
      </x:c>
      <x:c r="C22" s="13" t="str"/>
      <x:c r="D22" s="13" t="str">
        <x:v>web</x:v>
      </x:c>
      <x:c r="E22" s="13" t="str">
        <x:v>청계 소울 오션 검증 출처</x:v>
      </x:c>
      <x:c r="F22" s="13" t="str">
        <x:v>서울관광재단</x:v>
      </x:c>
      <x:c r="G22" s="13" t="str">
        <x:v>https://english.visitseoul.net/exhibition/CheonggyeSoulOcean/ENP20kefn</x:v>
      </x:c>
      <x:c r="H22" s="13" t="str"/>
      <x:c r="I22" s="13" t="str">
        <x:v>2026-09-21</x:v>
      </x:c>
      <x:c r="J22" s="13" t="str">
        <x:v>v0.1 장소 후보 검증. verification=high, status=active</x:v>
      </x:c>
    </x:row>
    <x:row r="23">
      <x:c r="A23" s="13" t="str">
        <x:v>SRC022</x:v>
      </x:c>
      <x:c r="B23" s="13" t="str">
        <x:v>SEOUL022</x:v>
      </x:c>
      <x:c r="C23" s="13" t="str"/>
      <x:c r="D23" s="13" t="str">
        <x:v>web</x:v>
      </x:c>
      <x:c r="E23" s="13" t="str">
        <x:v>국립중앙박물관 디지털 실감 영상관 검증 출처</x:v>
      </x:c>
      <x:c r="F23" s="13" t="str">
        <x:v>국립중앙박물관</x:v>
      </x:c>
      <x:c r="G23" s="13" t="str">
        <x:v>https://www.museum.go.kr/ENG/contents/E0203010000.do</x:v>
      </x:c>
      <x:c r="H23" s="13" t="str"/>
      <x:c r="I23" s="13" t="str">
        <x:v>2026-09-21</x:v>
      </x:c>
      <x:c r="J23" s="13" t="str">
        <x:v>v0.1 장소 후보 검증. verification=high, status=active</x:v>
      </x:c>
    </x:row>
    <x:row r="24">
      <x:c r="A24" s="13" t="str">
        <x:v>SRC023</x:v>
      </x:c>
      <x:c r="B24" s="13" t="str">
        <x:v>SEOUL023</x:v>
      </x:c>
      <x:c r="C24" s="13" t="str"/>
      <x:c r="D24" s="13" t="str">
        <x:v>web</x:v>
      </x:c>
      <x:c r="E24" s="13" t="str">
        <x:v>라이트룸 서울 검증 출처</x:v>
      </x:c>
      <x:c r="F24" s="13" t="str">
        <x:v>Lightroom Seoul</x:v>
      </x:c>
      <x:c r="G24" s="13" t="str">
        <x:v>https://lightroomseoul.com/en/visit</x:v>
      </x:c>
      <x:c r="H24" s="13" t="str"/>
      <x:c r="I24" s="13" t="str">
        <x:v>2026-09-21</x:v>
      </x:c>
      <x:c r="J24" s="13" t="str">
        <x:v>v0.1 장소 후보 검증. verification=high, status=active</x:v>
      </x:c>
    </x:row>
    <x:row r="25">
      <x:c r="A25" s="13" t="str">
        <x:v>SRC024</x:v>
      </x:c>
      <x:c r="B25" s="13" t="str">
        <x:v>SEOUL024</x:v>
      </x:c>
      <x:c r="C25" s="13" t="str"/>
      <x:c r="D25" s="13" t="str">
        <x:v>web</x:v>
      </x:c>
      <x:c r="E25" s="13" t="str">
        <x:v>서울시립 서서울미술관 검증 출처</x:v>
      </x:c>
      <x:c r="F25" s="13" t="str">
        <x:v>서울시립미술관</x:v>
      </x:c>
      <x:c r="G25" s="13" t="str">
        <x:v>https://sema.seoul.go.kr/</x:v>
      </x:c>
      <x:c r="H25" s="13" t="str"/>
      <x:c r="I25" s="13" t="str">
        <x:v>2026-09-21</x:v>
      </x:c>
      <x:c r="J25" s="13" t="str">
        <x:v>v0.1 장소 후보 검증. verification=high, status=active</x:v>
      </x:c>
    </x:row>
    <x:row r="26">
      <x:c r="A26" s="13" t="str">
        <x:v>SRC025</x:v>
      </x:c>
      <x:c r="B26" s="13" t="str">
        <x:v>SEOUL025</x:v>
      </x:c>
      <x:c r="C26" s="13" t="str"/>
      <x:c r="D26" s="13" t="str">
        <x:v>web</x:v>
      </x:c>
      <x:c r="E26" s="13" t="str">
        <x:v>국립현대미술관 서울 검증 출처</x:v>
      </x:c>
      <x:c r="F26" s="13" t="str">
        <x:v>국립현대미술관</x:v>
      </x:c>
      <x:c r="G26" s="13" t="str">
        <x:v>https://www.mmca.go.kr/exhibitions/exhibitionsDetail.do?exhFlag=2&amp;exhId=202601060002028</x:v>
      </x:c>
      <x:c r="H26" s="13" t="str"/>
      <x:c r="I26" s="13" t="str">
        <x:v>2026-09-21</x:v>
      </x:c>
      <x:c r="J26" s="13" t="str">
        <x:v>v0.1 장소 후보 검증. verification=high, status=active</x:v>
      </x:c>
    </x:row>
    <x:row r="27">
      <x:c r="A27" s="13" t="str">
        <x:v>SRC026</x:v>
      </x:c>
      <x:c r="B27" s="13" t="str">
        <x:v>SEOUL026</x:v>
      </x:c>
      <x:c r="C27" s="13" t="str"/>
      <x:c r="D27" s="13" t="str">
        <x:v>web</x:v>
      </x:c>
      <x:c r="E27" s="13" t="str">
        <x:v>아트센터 나비 검증 출처</x:v>
      </x:c>
      <x:c r="F27" s="13" t="str">
        <x:v>Art Center Nabi / Aju Press</x:v>
      </x:c>
      <x:c r="G27" s="13" t="str">
        <x:v>https://www.ajupress.com/view/20260602181570896</x:v>
      </x:c>
      <x:c r="H27" s="13" t="str"/>
      <x:c r="I27" s="13" t="str">
        <x:v>2026-09-21</x:v>
      </x:c>
      <x:c r="J27" s="13" t="str">
        <x:v>v0.1 장소 후보 검증. verification=medium, status=active_rotation</x:v>
      </x:c>
    </x:row>
    <x:row r="28">
      <x:c r="A28" s="13" t="str">
        <x:v>SRC027</x:v>
      </x:c>
      <x:c r="B28" s="13" t="str">
        <x:v>SEOUL027</x:v>
      </x:c>
      <x:c r="C28" s="13" t="str"/>
      <x:c r="D28" s="13" t="str">
        <x:v>web</x:v>
      </x:c>
      <x:c r="E28" s="13" t="str">
        <x:v>리움미술관 검증 출처</x:v>
      </x:c>
      <x:c r="F28" s="13" t="str">
        <x:v>리움미술관</x:v>
      </x:c>
      <x:c r="G28" s="13" t="str">
        <x:v>https://www.leeumhoam.org/leeum/info/visit</x:v>
      </x:c>
      <x:c r="H28" s="13" t="str"/>
      <x:c r="I28" s="13" t="str">
        <x:v>2026-09-21</x:v>
      </x:c>
      <x:c r="J28" s="13" t="str">
        <x:v>v0.1 장소 후보 검증. verification=high, status=active</x:v>
      </x:c>
    </x:row>
    <x:row r="29">
      <x:c r="A29" s="13" t="str">
        <x:v>SRC028</x:v>
      </x:c>
      <x:c r="B29" s="13" t="str">
        <x:v>SEOUL028</x:v>
      </x:c>
      <x:c r="C29" s="13" t="str"/>
      <x:c r="D29" s="13" t="str">
        <x:v>web</x:v>
      </x:c>
      <x:c r="E29" s="13" t="str">
        <x:v>디뮤지엄 검증 출처</x:v>
      </x:c>
      <x:c r="F29" s="13" t="str">
        <x:v>D MUSEUM / 서울관광</x:v>
      </x:c>
      <x:c r="G29" s="13" t="str">
        <x:v>https://english.visitseoul.net/</x:v>
      </x:c>
      <x:c r="H29" s="13" t="str"/>
      <x:c r="I29" s="13" t="str">
        <x:v>2026-09-21</x:v>
      </x:c>
      <x:c r="J29" s="13" t="str">
        <x:v>v0.1 장소 후보 검증. verification=medium, status=active_rotation</x:v>
      </x:c>
    </x:row>
    <x:row r="30">
      <x:c r="A30" s="13" t="str">
        <x:v>SRC029</x:v>
      </x:c>
      <x:c r="B30" s="13" t="str">
        <x:v>SEOUL029</x:v>
      </x:c>
      <x:c r="C30" s="13" t="str"/>
      <x:c r="D30" s="13" t="str">
        <x:v>web</x:v>
      </x:c>
      <x:c r="E30" s="13" t="str">
        <x:v>플랫폼엘 컨템포러리 아트센터 검증 출처</x:v>
      </x:c>
      <x:c r="F30" s="13" t="str">
        <x:v>Platform-L</x:v>
      </x:c>
      <x:c r="G30" s="13" t="str">
        <x:v>https://platform-l.org/information/notice</x:v>
      </x:c>
      <x:c r="H30" s="13" t="str"/>
      <x:c r="I30" s="13" t="str">
        <x:v>2026-09-21</x:v>
      </x:c>
      <x:c r="J30" s="13" t="str">
        <x:v>v0.1 장소 후보 검증. verification=high, status=active_rotation</x:v>
      </x:c>
    </x:row>
    <x:row r="31">
      <x:c r="A31" s="13" t="str">
        <x:v>SRC030</x:v>
      </x:c>
      <x:c r="B31" s="13" t="str">
        <x:v>SEOUL030</x:v>
      </x:c>
      <x:c r="C31" s="13" t="str"/>
      <x:c r="D31" s="13" t="str">
        <x:v>web</x:v>
      </x:c>
      <x:c r="E31" s="13" t="str">
        <x:v>스페이스K 서울 검증 출처</x:v>
      </x:c>
      <x:c r="F31" s="13" t="str">
        <x:v>Space K / 서울관광</x:v>
      </x:c>
      <x:c r="G31" s="13" t="str">
        <x:v>https://english.visitseoul.net/</x:v>
      </x:c>
      <x:c r="H31" s="13" t="str"/>
      <x:c r="I31" s="13" t="str">
        <x:v>2026-09-21</x:v>
      </x:c>
      <x:c r="J31" s="13" t="str">
        <x:v>v0.1 장소 후보 검증. verification=medium, status=active_rotation</x:v>
      </x:c>
    </x:row>
    <x:row r="32">
      <x:c r="A32" s="13" t="str">
        <x:v>SRC031</x:v>
      </x:c>
      <x:c r="B32" s="13" t="str">
        <x:v>SEOUL031</x:v>
      </x:c>
      <x:c r="C32" s="13" t="str"/>
      <x:c r="D32" s="13" t="str">
        <x:v>web</x:v>
      </x:c>
      <x:c r="E32" s="13" t="str">
        <x:v>문화역서울284 검증 출처</x:v>
      </x:c>
      <x:c r="F32" s="13" t="str">
        <x:v>문화역서울284</x:v>
      </x:c>
      <x:c r="G32" s="13" t="str">
        <x:v>https://www.seoul284.org/</x:v>
      </x:c>
      <x:c r="H32" s="13" t="str"/>
      <x:c r="I32" s="13" t="str">
        <x:v>2026-09-21</x:v>
      </x:c>
      <x:c r="J32" s="13" t="str">
        <x:v>v0.1 장소 후보 검증. verification=medium, status=active_rotation</x:v>
      </x:c>
    </x:row>
    <x:row r="33">
      <x:c r="A33" s="13" t="str">
        <x:v>SRC032</x:v>
      </x:c>
      <x:c r="B33" s="13" t="str">
        <x:v>SEOUL032</x:v>
      </x:c>
      <x:c r="C33" s="13" t="str"/>
      <x:c r="D33" s="13" t="str">
        <x:v>web</x:v>
      </x:c>
      <x:c r="E33" s="13" t="str">
        <x:v>서울도시건축전시관 검증 출처</x:v>
      </x:c>
      <x:c r="F33" s="13" t="str">
        <x:v>서울특별시/서울관광</x:v>
      </x:c>
      <x:c r="G33" s="13" t="str">
        <x:v>https://english.visitseoul.net/City-Hall-Area/Seoul-Hall-of-Urbanism--Architecture/ENP034149</x:v>
      </x:c>
      <x:c r="H33" s="13" t="str"/>
      <x:c r="I33" s="13" t="str">
        <x:v>2026-09-21</x:v>
      </x:c>
      <x:c r="J33" s="13" t="str">
        <x:v>v0.1 장소 후보 검증. verification=medium, status=active_rotation</x:v>
      </x:c>
    </x:row>
    <x:row r="34">
      <x:c r="A34" s="13" t="str">
        <x:v>SRC033</x:v>
      </x:c>
      <x:c r="B34" s="13" t="str">
        <x:v>SEOUL033</x:v>
      </x:c>
      <x:c r="C34" s="13" t="str"/>
      <x:c r="D34" s="13" t="str">
        <x:v>web</x:v>
      </x:c>
      <x:c r="E34" s="13" t="str">
        <x:v>문화비축기지 T4·T5 검증 출처</x:v>
      </x:c>
      <x:c r="F34" s="13" t="str">
        <x:v>서울특별시</x:v>
      </x:c>
      <x:c r="G34" s="13" t="str">
        <x:v>https://english.seoul.go.kr/</x:v>
      </x:c>
      <x:c r="H34" s="13" t="str"/>
      <x:c r="I34" s="13" t="str">
        <x:v>2026-09-21</x:v>
      </x:c>
      <x:c r="J34" s="13" t="str">
        <x:v>v0.1 장소 후보 검증. verification=high, status=active_rotation</x:v>
      </x:c>
    </x:row>
    <x:row r="35">
      <x:c r="A35" s="13" t="str">
        <x:v>SRC034</x:v>
      </x:c>
      <x:c r="B35" s="13" t="str">
        <x:v>SEOUL034</x:v>
      </x:c>
      <x:c r="C35" s="13" t="str"/>
      <x:c r="D35" s="13" t="str">
        <x:v>web</x:v>
      </x:c>
      <x:c r="E35" s="13" t="str">
        <x:v>서울시립 사진미술관 검증 출처</x:v>
      </x:c>
      <x:c r="F35" s="13" t="str">
        <x:v>서울시립미술관</x:v>
      </x:c>
      <x:c r="G35" s="13" t="str">
        <x:v>https://sema.seoul.go.kr/en/visit/photosema</x:v>
      </x:c>
      <x:c r="H35" s="13" t="str"/>
      <x:c r="I35" s="13" t="str">
        <x:v>2026-09-21</x:v>
      </x:c>
      <x:c r="J35" s="13" t="str">
        <x:v>v0.1 장소 후보 검증. verification=high, status=active</x:v>
      </x:c>
    </x:row>
    <x:row r="36">
      <x:c r="A36" s="13" t="str">
        <x:v>SRC035</x:v>
      </x:c>
      <x:c r="B36" s="13" t="str">
        <x:v>SEOUL035</x:v>
      </x:c>
      <x:c r="C36" s="13" t="str"/>
      <x:c r="D36" s="13" t="str">
        <x:v>web</x:v>
      </x:c>
      <x:c r="E36" s="13" t="str">
        <x:v>서울시립미술관 서소문본관 검증 출처</x:v>
      </x:c>
      <x:c r="F36" s="13" t="str">
        <x:v>서울시립미술관</x:v>
      </x:c>
      <x:c r="G36" s="13" t="str">
        <x:v>https://sema.seoul.go.kr/kr/whatson/landing?whenType=NEXT_WEEK</x:v>
      </x:c>
      <x:c r="H36" s="13" t="str"/>
      <x:c r="I36" s="13" t="str">
        <x:v>2026-09-21</x:v>
      </x:c>
      <x:c r="J36" s="13" t="str">
        <x:v>v0.1 장소 후보 검증. verification=high, status=active</x:v>
      </x:c>
    </x:row>
    <x:row r="37">
      <x:c r="A37" s="13" t="str">
        <x:v>SRC036</x:v>
      </x:c>
      <x:c r="B37" s="13" t="str">
        <x:v>SEOUL036</x:v>
      </x:c>
      <x:c r="C37" s="13" t="str"/>
      <x:c r="D37" s="13" t="str">
        <x:v>web</x:v>
      </x:c>
      <x:c r="E37" s="13" t="str">
        <x:v>서울시립 북서울미술관 검증 출처</x:v>
      </x:c>
      <x:c r="F37" s="13" t="str">
        <x:v>서울시립미술관</x:v>
      </x:c>
      <x:c r="G37" s="13" t="str">
        <x:v>https://sema.seoul.go.kr/kr/whatson/landing?whenType=NEXT_WEEK</x:v>
      </x:c>
      <x:c r="H37" s="13" t="str"/>
      <x:c r="I37" s="13" t="str">
        <x:v>2026-09-21</x:v>
      </x:c>
      <x:c r="J37" s="13" t="str">
        <x:v>v0.1 장소 후보 검증. verification=high, status=active</x:v>
      </x:c>
    </x:row>
    <x:row r="38">
      <x:c r="A38" s="13" t="str">
        <x:v>SRC037</x:v>
      </x:c>
      <x:c r="B38" s="13" t="str">
        <x:v>SEOUL037</x:v>
      </x:c>
      <x:c r="C38" s="13" t="str"/>
      <x:c r="D38" s="13" t="str">
        <x:v>web</x:v>
      </x:c>
      <x:c r="E38" s="13" t="str">
        <x:v>서울시립 백남준을 기억하는 집 검증 출처</x:v>
      </x:c>
      <x:c r="F38" s="13" t="str">
        <x:v>서울시립미술관</x:v>
      </x:c>
      <x:c r="G38" s="13" t="str">
        <x:v>https://sema.seoul.go.kr/kr/visit/nam_june_paik_house</x:v>
      </x:c>
      <x:c r="H38" s="13" t="str"/>
      <x:c r="I38" s="13" t="str">
        <x:v>2026-09-21</x:v>
      </x:c>
      <x:c r="J38" s="13" t="str">
        <x:v>v0.1 장소 후보 검증. verification=high, status=active</x:v>
      </x:c>
    </x:row>
    <x:row r="39">
      <x:c r="A39" s="13" t="str">
        <x:v>SRC038</x:v>
      </x:c>
      <x:c r="B39" s="13" t="str">
        <x:v>SEOUL038</x:v>
      </x:c>
      <x:c r="C39" s="13" t="str"/>
      <x:c r="D39" s="13" t="str">
        <x:v>web</x:v>
      </x:c>
      <x:c r="E39" s="13" t="str">
        <x:v>서울시청 서울림(林) 미디어월 검증 출처</x:v>
      </x:c>
      <x:c r="F39" s="13" t="str">
        <x:v>서울특별시 서울사랑</x:v>
      </x:c>
      <x:c r="G39" s="13" t="str">
        <x:v>https://love.seoul.go.kr/articles/10503</x:v>
      </x:c>
      <x:c r="H39" s="13" t="str"/>
      <x:c r="I39" s="13" t="str">
        <x:v>2026-09-21</x:v>
      </x:c>
      <x:c r="J39" s="13" t="str">
        <x:v>v0.1 장소 후보 검증. verification=high, status=verify_current_program</x:v>
      </x:c>
    </x:row>
    <x:row r="40">
      <x:c r="A40" s="13" t="str">
        <x:v>SRC039</x:v>
      </x:c>
      <x:c r="B40" s="13" t="str">
        <x:v>SEOUL039</x:v>
      </x:c>
      <x:c r="C40" s="13" t="str"/>
      <x:c r="D40" s="13" t="str">
        <x:v>web</x:v>
      </x:c>
      <x:c r="E40" s="13" t="str">
        <x:v>피크닉 검증 출처</x:v>
      </x:c>
      <x:c r="F40" s="13" t="str">
        <x:v>Piknic</x:v>
      </x:c>
      <x:c r="G40" s="13" t="str">
        <x:v>https://piknic.kr/</x:v>
      </x:c>
      <x:c r="H40" s="13" t="str"/>
      <x:c r="I40" s="13" t="str">
        <x:v>2026-09-21</x:v>
      </x:c>
      <x:c r="J40" s="13" t="str">
        <x:v>v0.1 장소 후보 검증. verification=medium, status=between_exhibitions</x:v>
      </x:c>
    </x:row>
    <x:row r="41">
      <x:c r="A41" s="13" t="str">
        <x:v>SRC040</x:v>
      </x:c>
      <x:c r="B41" s="13" t="str">
        <x:v>SEOUL040</x:v>
      </x:c>
      <x:c r="C41" s="13" t="str"/>
      <x:c r="D41" s="13" t="str">
        <x:v>web</x:v>
      </x:c>
      <x:c r="E41" s="13" t="str">
        <x:v>더현대 서울 ALT.1 검증 출처</x:v>
      </x:c>
      <x:c r="F41" s="13" t="str">
        <x:v>현대백화점</x:v>
      </x:c>
      <x:c r="G41" s="13" t="str">
        <x:v>https://www.thehyundaiseoul.com/</x:v>
      </x:c>
      <x:c r="H41" s="13" t="str"/>
      <x:c r="I41" s="13" t="str">
        <x:v>2026-09-21</x:v>
      </x:c>
      <x:c r="J41" s="13" t="str">
        <x:v>v0.1 장소 후보 검증. verification=medium, status=active_rotation</x:v>
      </x:c>
    </x:row>
    <x:row r="42">
      <x:c r="A42" s="13" t="str">
        <x:v>SRC041</x:v>
      </x:c>
      <x:c r="B42" s="13" t="str">
        <x:v>SEOUL041</x:v>
      </x:c>
      <x:c r="C42" s="13" t="str"/>
      <x:c r="D42" s="13" t="str">
        <x:v>web</x:v>
      </x:c>
      <x:c r="E42" s="13" t="str">
        <x:v>그라운드시소 이스트 검증 출처</x:v>
      </x:c>
      <x:c r="F42" s="13" t="str">
        <x:v>Ground Seesaw</x:v>
      </x:c>
      <x:c r="G42" s="13" t="str">
        <x:v>https://groundseesaw.co.kr/</x:v>
      </x:c>
      <x:c r="H42" s="13" t="str"/>
      <x:c r="I42" s="13" t="str">
        <x:v>2026-09-21</x:v>
      </x:c>
      <x:c r="J42" s="13" t="str">
        <x:v>v0.1 장소 후보 검증. verification=medium, status=verify_current_program</x:v>
      </x:c>
    </x:row>
    <x:row r="43">
      <x:c r="A43" s="13" t="str">
        <x:v>SRC042</x:v>
      </x:c>
      <x:c r="B43" s="13" t="str">
        <x:v>SEOUL042</x:v>
      </x:c>
      <x:c r="C43" s="13" t="str"/>
      <x:c r="D43" s="13" t="str">
        <x:v>web</x:v>
      </x:c>
      <x:c r="E43" s="13" t="str">
        <x:v>그라운드시소 서촌 검증 출처</x:v>
      </x:c>
      <x:c r="F43" s="13" t="str">
        <x:v>Ground Seesaw / 한국관광공사</x:v>
      </x:c>
      <x:c r="G43" s="13" t="str">
        <x:v>https://english.visitkorea.or.kr/</x:v>
      </x:c>
      <x:c r="H43" s="13" t="str"/>
      <x:c r="I43" s="13" t="str">
        <x:v>2026-09-21</x:v>
      </x:c>
      <x:c r="J43" s="13" t="str">
        <x:v>v0.1 장소 후보 검증. verification=medium, status=verify_current_program</x:v>
      </x:c>
    </x:row>
    <x:row r="44">
      <x:c r="A44" s="13" t="str">
        <x:v>SRC043</x:v>
      </x:c>
      <x:c r="B44" s="13" t="str">
        <x:v>SEOUL043</x:v>
      </x:c>
      <x:c r="C44" s="13" t="str"/>
      <x:c r="D44" s="13" t="str">
        <x:v>web</x:v>
      </x:c>
      <x:c r="E44" s="13" t="str">
        <x:v>N서울타워 검증 출처</x:v>
      </x:c>
      <x:c r="F44" s="13" t="str">
        <x:v>N서울타워</x:v>
      </x:c>
      <x:c r="G44" s="13" t="str">
        <x:v>https://www.nseoultower.co.kr/eng/global/intro.asp</x:v>
      </x:c>
      <x:c r="H44" s="13" t="str"/>
      <x:c r="I44" s="13" t="str">
        <x:v>2026-09-21</x:v>
      </x:c>
      <x:c r="J44" s="13" t="str">
        <x:v>v0.1 장소 후보 검증. verification=high, status=active</x:v>
      </x:c>
    </x:row>
    <x:row r="45">
      <x:c r="A45" s="13" t="str">
        <x:v>SRC044</x:v>
      </x:c>
      <x:c r="B45" s="13" t="str">
        <x:v>SEOUL044</x:v>
      </x:c>
      <x:c r="C45" s="13" t="str"/>
      <x:c r="D45" s="13" t="str">
        <x:v>web</x:v>
      </x:c>
      <x:c r="E45" s="13" t="str">
        <x:v>세빛섬 검증 출처</x:v>
      </x:c>
      <x:c r="F45" s="13" t="str">
        <x:v>세빛섬/서울관광재단</x:v>
      </x:c>
      <x:c r="G45" s="13" t="str">
        <x:v>https://english.visitseoul.net/attractions/Sebitseom_/24646</x:v>
      </x:c>
      <x:c r="H45" s="13" t="str"/>
      <x:c r="I45" s="13" t="str">
        <x:v>2026-09-21</x:v>
      </x:c>
      <x:c r="J45" s="13" t="str">
        <x:v>v0.1 장소 후보 검증. verification=high, status=active</x:v>
      </x:c>
    </x:row>
    <x:row r="46">
      <x:c r="A46" s="13" t="str">
        <x:v>SRC045</x:v>
      </x:c>
      <x:c r="B46" s="13" t="str">
        <x:v>SEOUL045</x:v>
      </x:c>
      <x:c r="C46" s="13" t="str"/>
      <x:c r="D46" s="13" t="str">
        <x:v>web</x:v>
      </x:c>
      <x:c r="E46" s="13" t="str">
        <x:v>반포대교 달빛무지개분수 검증 출처</x:v>
      </x:c>
      <x:c r="F46" s="13" t="str">
        <x:v>서초구청</x:v>
      </x:c>
      <x:c r="G46" s="13" t="str">
        <x:v>https://www.seocho.go.kr/site/seocho/04/10404021300002015070703.jsp</x:v>
      </x:c>
      <x:c r="H46" s="13" t="str"/>
      <x:c r="I46" s="13" t="str">
        <x:v>2026-09-21</x:v>
      </x:c>
      <x:c r="J46" s="13" t="str">
        <x:v>v0.1 장소 후보 검증. verification=high, status=seasonal</x:v>
      </x:c>
    </x:row>
    <x:row r="47">
      <x:c r="A47" s="13" t="str">
        <x:v>SRC046</x:v>
      </x:c>
      <x:c r="B47" s="13" t="str">
        <x:v>SEOUL046</x:v>
      </x:c>
      <x:c r="C47" s="13" t="str"/>
      <x:c r="D47" s="13" t="str">
        <x:v>web</x:v>
      </x:c>
      <x:c r="E47" s="13" t="str">
        <x:v>서울로7017 야간조명 검증 출처</x:v>
      </x:c>
      <x:c r="F47" s="13" t="str">
        <x:v>서울특별시</x:v>
      </x:c>
      <x:c r="G47" s="13" t="str">
        <x:v>https://english.seoul.go.kr/seoullo-7017-2/</x:v>
      </x:c>
      <x:c r="H47" s="13" t="str"/>
      <x:c r="I47" s="13" t="str">
        <x:v>2026-09-21</x:v>
      </x:c>
      <x:c r="J47" s="13" t="str">
        <x:v>v0.1 장소 후보 검증. verification=high, status=active</x:v>
      </x:c>
    </x:row>
    <x:row r="48">
      <x:c r="A48" s="13" t="str">
        <x:v>SRC047</x:v>
      </x:c>
      <x:c r="B48" s="13" t="str">
        <x:v>SEOUL047</x:v>
      </x:c>
      <x:c r="C48" s="13" t="str"/>
      <x:c r="D48" s="13" t="str">
        <x:v>web</x:v>
      </x:c>
      <x:c r="E48" s="13" t="str">
        <x:v>홍제유연 검증 출처</x:v>
      </x:c>
      <x:c r="F48" s="13" t="str">
        <x:v>서울특별시</x:v>
      </x:c>
      <x:c r="G48" s="13" t="str">
        <x:v>https://mediahub.seoul.go.kr/archives/1503267</x:v>
      </x:c>
      <x:c r="H48" s="13" t="str"/>
      <x:c r="I48" s="13" t="str">
        <x:v>2026-09-21</x:v>
      </x:c>
      <x:c r="J48" s="13" t="str">
        <x:v>v0.1 장소 후보 검증. verification=medium, status=active_or_verify</x:v>
      </x:c>
    </x:row>
    <x:row r="49">
      <x:c r="A49" s="13" t="str">
        <x:v>SRC048</x:v>
      </x:c>
      <x:c r="B49" s="13" t="str">
        <x:v>SEOUL048</x:v>
      </x:c>
      <x:c r="C49" s="13" t="str"/>
      <x:c r="D49" s="13" t="str">
        <x:v>web</x:v>
      </x:c>
      <x:c r="E49" s="13" t="str">
        <x:v>별마당도서관 검증 출처</x:v>
      </x:c>
      <x:c r="F49" s="13" t="str">
        <x:v>서울특별시/스타필드</x:v>
      </x:c>
      <x:c r="G49" s="13" t="str">
        <x:v>https://english.seoul.go.kr/starfield-library-coex/</x:v>
      </x:c>
      <x:c r="H49" s="13" t="str"/>
      <x:c r="I49" s="13" t="str">
        <x:v>2026-09-21</x:v>
      </x:c>
      <x:c r="J49" s="13" t="str">
        <x:v>v0.1 장소 후보 검증. verification=high, status=active</x:v>
      </x:c>
    </x:row>
    <x:row r="50">
      <x:c r="A50" s="13" t="str">
        <x:v>SRC049</x:v>
      </x:c>
      <x:c r="B50" s="13" t="str">
        <x:v>SEOUL049</x:v>
      </x:c>
      <x:c r="C50" s="13" t="str"/>
      <x:c r="D50" s="13" t="str">
        <x:v>web</x:v>
      </x:c>
      <x:c r="E50" s="13" t="str">
        <x:v>서울웨이브 아트센터 검증 출처</x:v>
      </x:c>
      <x:c r="F50" s="13" t="str">
        <x:v>서울웨이브/한국관광공사</x:v>
      </x:c>
      <x:c r="G50" s="13" t="str">
        <x:v>https://english.visitkorea.or.kr/</x:v>
      </x:c>
      <x:c r="H50" s="13" t="str"/>
      <x:c r="I50" s="13" t="str">
        <x:v>2026-09-21</x:v>
      </x:c>
      <x:c r="J50" s="13" t="str">
        <x:v>v0.1 장소 후보 검증. verification=medium, status=active_rotation</x:v>
      </x:c>
    </x:row>
    <x:row r="51">
      <x:c r="A51" s="13" t="str">
        <x:v>SRC050</x:v>
      </x:c>
      <x:c r="B51" s="13" t="str">
        <x:v>SEOUL050</x:v>
      </x:c>
      <x:c r="C51" s="13" t="str"/>
      <x:c r="D51" s="13" t="str">
        <x:v>web</x:v>
      </x:c>
      <x:c r="E51" s="13" t="str">
        <x:v>노원 불빛정원(화랑대 철도공원) 검증 출처</x:v>
      </x:c>
      <x:c r="F51" s="13" t="str">
        <x:v>노원구</x:v>
      </x:c>
      <x:c r="G51" s="13" t="str">
        <x:v>https://ebook.nowon.kr/src/viewer/main.php?category=1&amp;host=main&amp;page=246&amp;search=ci&amp;site=20250314_150345</x:v>
      </x:c>
      <x:c r="H51" s="13" t="str"/>
      <x:c r="I51" s="13" t="str">
        <x:v>2026-09-21</x:v>
      </x:c>
      <x:c r="J51" s="13" t="str">
        <x:v>v0.1 장소 후보 검증. verification=high, status=active</x:v>
      </x:c>
    </x:row>
  </x:sheetData>
  <x:pageMargins left="0.7" right="0.7" top="0.75" bottom="0.75" header="0.3" footer="0.3"/>
  <x:tableParts count="1">
    <x:tablePart xmlns:r="http://schemas.openxmlformats.org/officeDocument/2006/relationships" r:id="R846fd77e384c4e9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23" t="str">
        <x:v>media_id</x:v>
      </x:c>
      <x:c r="B1" s="23" t="str">
        <x:v>place_id</x:v>
      </x:c>
      <x:c r="C1" s="23" t="str">
        <x:v>work_id</x:v>
      </x:c>
      <x:c r="D1" s="23" t="str">
        <x:v>image_url</x:v>
      </x:c>
      <x:c r="E1" s="23" t="str">
        <x:v>caption</x:v>
      </x:c>
      <x:c r="F1" s="23" t="str">
        <x:v>copyright</x:v>
      </x:c>
      <x:c r="G1" s="23" t="str">
        <x:v>photographer</x:v>
      </x:c>
      <x:c r="H1" s="23" t="str">
        <x:v>source</x:v>
      </x:c>
      <x:c r="I1" s="23" t="str">
        <x:v>display_order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3" t="str">
        <x:v>user_id</x:v>
      </x:c>
      <x:c r="B1" s="23" t="str">
        <x:v>nickname</x:v>
      </x:c>
      <x:c r="C1" s="23" t="str">
        <x:v>profile_image</x:v>
      </x:c>
      <x:c r="D1" s="23" t="str">
        <x:v>home_city</x:v>
      </x:c>
      <x:c r="E1" s="23" t="str">
        <x:v>created_at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23" t="str">
        <x:v>user_id</x:v>
      </x:c>
      <x:c r="B1" s="23" t="str">
        <x:v>place_id</x:v>
      </x:c>
      <x:c r="C1" s="23" t="str">
        <x:v>saved_at</x:v>
      </x:c>
      <x:c r="D1" s="23" t="str">
        <x:v>collection_id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3" t="str">
        <x:v>user_id</x:v>
      </x:c>
      <x:c r="B1" s="23" t="str">
        <x:v>place_id</x:v>
      </x:c>
      <x:c r="C1" s="23" t="str">
        <x:v>visited_at</x:v>
      </x:c>
      <x:c r="D1" s="23" t="str">
        <x:v>rating</x:v>
      </x:c>
      <x:c r="E1" s="23" t="str">
        <x:v>comment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  <x:col min="4" max="4" width="24" hidden="0" customWidth="1"/>
    <x:col min="5" max="5" width="14" hidden="0" customWidth="1"/>
  </x:cols>
  <x:sheetData>
    <x:row r="1">
      <x:c r="A1" s="3" t="str">
        <x:v>빛의 건축 v0.1 — Seoul Seed Overview</x:v>
      </x:c>
      <x:c r="B1" t="str"/>
    </x:row>
    <x:row r="2">
      <x:c r="A2" s="9" t="str">
        <x:v>Seed places</x:v>
      </x:c>
      <x:c r="B2" t="n">
        <x:v>50</x:v>
      </x:c>
      <x:c r="D2" s="23" t="str">
        <x:v>Primary category</x:v>
      </x:c>
      <x:c r="E2" s="23" t="str">
        <x:v>Count</x:v>
      </x:c>
    </x:row>
    <x:row r="3">
      <x:c r="A3" s="9" t="str">
        <x:v>High verification</x:v>
      </x:c>
      <x:c r="B3" t="n">
        <x:f>COUNTIF(PLACES!AB2:AB51,"high")</x:f>
        <x:v>36</x:v>
      </x:c>
      <x:c r="D3" t="str">
        <x:v>Media Facade</x:v>
      </x:c>
      <x:c r="E3" t="n">
        <x:f>COUNTIF(PLACES!D2:D51,D3)</x:f>
        <x:v>17</x:v>
      </x:c>
    </x:row>
    <x:row r="4">
      <x:c r="A4" s="9" t="str">
        <x:v>Medium verification</x:v>
      </x:c>
      <x:c r="B4" t="n">
        <x:f>COUNTIF(PLACES!AB2:AB51,"medium")</x:f>
        <x:v>14</x:v>
      </x:c>
      <x:c r="D4" t="str">
        <x:v>Media Art</x:v>
      </x:c>
      <x:c r="E4" t="n">
        <x:f>COUNTIF(PLACES!D2:D51,D4)</x:f>
        <x:v>19</x:v>
      </x:c>
    </x:row>
    <x:row r="5">
      <x:c r="A5" s="9" t="str">
        <x:v>MVP A</x:v>
      </x:c>
      <x:c r="B5" t="n">
        <x:f>COUNTIF(PLACES!AC2:AC51,"A")</x:f>
        <x:v>25</x:v>
      </x:c>
      <x:c r="D5" t="str">
        <x:v>Immersive</x:v>
      </x:c>
      <x:c r="E5" t="n">
        <x:f>COUNTIF(PLACES!D2:D51,D5)</x:f>
        <x:v>6</x:v>
      </x:c>
    </x:row>
    <x:row r="6">
      <x:c r="A6" s="9" t="str">
        <x:v>Currently active-like</x:v>
      </x:c>
      <x:c r="B6" t="n">
        <x:f>COUNTIF(PLACES!Q2:Q51,"active")+COUNTIF(PLACES!Q2:Q51,"active_rotation")+COUNTIF(PLACES!Q2:Q51,"active_display")+COUNTIF(PLACES!Q2:Q51,"active_event")</x:f>
        <x:v>41</x:v>
      </x:c>
      <x:c r="D6" t="str">
        <x:v>Light Art</x:v>
      </x:c>
      <x:c r="E6" t="n">
        <x:f>COUNTIF(PLACES!D2:D51,D6)</x:f>
        <x:v>6</x:v>
      </x:c>
    </x:row>
    <x:row r="7">
      <x:c r="A7" s="9" t="str">
        <x:v>Needs program/schedule refresh</x:v>
      </x:c>
      <x:c r="B7" t="n">
        <x:f>COUNTIF(PLACES!Q2:Q51,"verify_current_program")+COUNTIF(PLACES!Q2:Q51,"verify_schedule")+COUNTIF(PLACES!Q2:Q51,"between_exhibitions")+COUNTIF(PLACES!Q2:Q51,"active_or_verify")</x:f>
        <x:v>6</x:v>
      </x:c>
      <x:c r="D7" t="str">
        <x:v>Architecture</x:v>
      </x:c>
      <x:c r="E7" t="n">
        <x:f>COUNTIF(PLACES!D2:D51,D7)</x:f>
        <x:v>2</x:v>
      </x:c>
    </x:row>
    <x:row r="8">
      <x:c r="A8" s="9" t="str">
        <x:v>Upcoming</x:v>
      </x:c>
      <x:c r="B8" t="n">
        <x:f>COUNTIF(PLACES!Q2:Q51,"upcoming")</x:f>
        <x:v>1</x:v>
      </x:c>
    </x:row>
    <x:row r="10">
      <x:c r="D10" s="23" t="str">
        <x:v>MVP priority</x:v>
      </x:c>
      <x:c r="E10" s="23" t="str">
        <x:v>Count</x:v>
      </x:c>
    </x:row>
    <x:row r="11">
      <x:c r="A11" s="36" t="str">
        <x:v>Launch note</x:v>
      </x:c>
      <x:c r="B11" s="13" t="str"/>
      <x:c r="D11" t="str">
        <x:v>A</x:v>
      </x:c>
      <x:c r="E11" t="n">
        <x:f>COUNTIF(PLACES!AC2:AC51,D11)</x:f>
        <x:v>25</x:v>
      </x:c>
    </x:row>
    <x:row r="12">
      <x:c r="A12" s="36" t="str">
        <x:v>1</x:v>
      </x:c>
      <x:c r="B12" s="13" t="str">
        <x:v>A등급부터 앱에 적재하고 B/C는 현장·운영사 확인 후 확장.</x:v>
      </x:c>
      <x:c r="D12" t="str">
        <x:v>B</x:v>
      </x:c>
      <x:c r="E12" t="n">
        <x:f>COUNTIF(PLACES!AC2:AC51,D12)</x:f>
        <x:v>23</x:v>
      </x:c>
    </x:row>
    <x:row r="13">
      <x:c r="A13" s="36" t="str">
        <x:v>2</x:v>
      </x:c>
      <x:c r="B13" s="13" t="str">
        <x:v>좌표는 빈칸: 추정 좌표 금지. 주소를 지오코딩 API로 검증.</x:v>
      </x:c>
      <x:c r="D13" t="str">
        <x:v>C</x:v>
      </x:c>
      <x:c r="E13" t="n">
        <x:f>COUNTIF(PLACES!AC2:AC51,D13)</x:f>
        <x:v>2</x:v>
      </x:c>
    </x:row>
    <x:row r="14">
      <x:c r="A14" s="36" t="str">
        <x:v>3</x:v>
      </x:c>
      <x:c r="B14" s="13" t="str">
        <x:v>current_program/end_date는 배치 작업으로 주기적 갱신 대상.</x:v>
      </x:c>
    </x:row>
    <x:row r="15">
      <x:c r="A15" s="36" t="str">
        <x:v>4</x:v>
      </x:c>
      <x:c r="B15" s="13" t="str">
        <x:v>민간 전광판은 '스크린 존재'와 '예술 콘텐츠 현재 상영'을 구분.</x:v>
      </x:c>
    </x:row>
    <x:row r="16">
      <x:c r="A16" s="36" t="str">
        <x:v>5</x:v>
      </x:c>
      <x:c r="B16" s="13" t="str">
        <x:v>MEDIA 이미지는 라이선스 확인 전 비워 둠.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0f8e1e8fa72348a5"/>
</x:worksheet>
</file>