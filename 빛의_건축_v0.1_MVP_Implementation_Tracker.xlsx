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ca76e7a63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 Tracker" sheetId="1" r:id="R96b17d6b0d784e12"/>
    <x:sheet xmlns:r="http://schemas.openxmlformats.org/officeDocument/2006/relationships" name="Summary" sheetId="2" r:id="R75b5ddb5d4b24816"/>
    <x:sheet xmlns:r="http://schemas.openxmlformats.org/officeDocument/2006/relationships" name="Place Readiness" sheetId="3" r:id="Rf1148260ef244343"/>
    <x:sheet xmlns:r="http://schemas.openxmlformats.org/officeDocument/2006/relationships" name="QA" sheetId="4" r:id="R69fb855a8ba6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0F172A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710e6329a4378" /><Relationship Type="http://schemas.openxmlformats.org/officeDocument/2006/relationships/theme" Target="/xl/theme/theme1.xml" Id="Rd2e7e7e6a01a401c" /><Relationship Type="http://schemas.openxmlformats.org/officeDocument/2006/relationships/sharedStrings" Target="/xl/sharedStrings.xml" Id="R22b4bc18611d4081" /><Relationship Type="http://schemas.openxmlformats.org/officeDocument/2006/relationships/worksheet" Target="/xl/worksheets/sheet1.xml" Id="R96b17d6b0d784e12" /><Relationship Type="http://schemas.openxmlformats.org/officeDocument/2006/relationships/worksheet" Target="/xl/worksheets/sheet2.xml" Id="R75b5ddb5d4b24816" /><Relationship Type="http://schemas.openxmlformats.org/officeDocument/2006/relationships/worksheet" Target="/xl/worksheets/sheet3.xml" Id="Rf1148260ef244343" /><Relationship Type="http://schemas.openxmlformats.org/officeDocument/2006/relationships/worksheet" Target="/xl/worksheets/sheet4.xml" Id="R69fb855a8ba64a47" /></Relationships>
</file>

<file path=xl/tables/table1.xml><?xml version="1.0" encoding="utf-8"?>
<x:table xmlns:x="http://schemas.openxmlformats.org/spreadsheetml/2006/main" id="1" name="MVPTrackerTable" displayName="MVPTrackerTable" ref="A1:I47" headerRowCount="1" totalsRowCount="0" totalsRowShown="0">
  <x:tableColumns count="9">
    <x:tableColumn id="1" name="Priority"/>
    <x:tableColumn id="2" name="Phase"/>
    <x:tableColumn id="3" name="Task"/>
    <x:tableColumn id="4" name="Owner"/>
    <x:tableColumn id="5" name="Status"/>
    <x:tableColumn id="6" name="Account Required"/>
    <x:tableColumn id="7" name="Dependency"/>
    <x:tableColumn id="8" name="Deliverable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ceReadinessTable" displayName="PlaceReadinessTable" ref="A1:K51" headerRowCount="1" totalsRowCount="0" totalsRowShown="0">
  <x:tableColumns count="11">
    <x:tableColumn id="1" name="place_code"/>
    <x:tableColumn id="2" name="name_kr"/>
    <x:tableColumn id="3" name="category"/>
    <x:tableColumn id="4" name="district"/>
    <x:tableColumn id="5" name="verification"/>
    <x:tableColumn id="6" name="priority"/>
    <x:tableColumn id="7" name="geocode_status"/>
    <x:tableColumn id="8" name="Coordinates"/>
    <x:tableColumn id="9" name="Image rights"/>
    <x:tableColumn id="10" name="Current program QA"/>
    <x:tableColumn id="11" name="Launch read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e6f42fb6a147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ed9be94926492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18" hidden="0" customWidth="1"/>
    <x:col min="5" max="5" width="14" hidden="0" customWidth="1"/>
    <x:col min="6" max="6" width="16" hidden="0" customWidth="1"/>
    <x:col min="7" max="7" width="28" hidden="0" customWidth="1"/>
    <x:col min="8" max="8" width="30" hidden="0" customWidth="1"/>
    <x:col min="9" max="9" width="32" hidden="0" customWidth="1"/>
  </x:cols>
  <x:sheetData>
    <x:row r="1">
      <x:c r="A1" s="10" t="str">
        <x:v>Priority</x:v>
      </x:c>
      <x:c r="B1" s="10" t="str">
        <x:v>Phase</x:v>
      </x:c>
      <x:c r="C1" s="10" t="str">
        <x:v>Task</x:v>
      </x:c>
      <x:c r="D1" s="10" t="str">
        <x:v>Owner</x:v>
      </x:c>
      <x:c r="E1" s="10" t="str">
        <x:v>Status</x:v>
      </x:c>
      <x:c r="F1" s="10" t="str">
        <x:v>Account Required</x:v>
      </x:c>
      <x:c r="G1" s="10" t="str">
        <x:v>Dependency</x:v>
      </x:c>
      <x:c r="H1" s="10" t="str">
        <x:v>Deliverable</x:v>
      </x:c>
      <x:c r="I1" s="10" t="str">
        <x:v>Notes</x:v>
      </x:c>
    </x:row>
    <x:row r="2">
      <x:c r="A2" s="11" t="str">
        <x:v>P0</x:v>
      </x:c>
      <x:c r="B2" s="11" t="str">
        <x:v>Foundation</x:v>
      </x:c>
      <x:c r="C2" s="11" t="str">
        <x:v>Confirm product scope</x:v>
      </x:c>
      <x:c r="D2" s="11" t="str">
        <x:v>ChatGPT/User</x:v>
      </x:c>
      <x:c r="E2" s="11" t="str">
        <x:v>Done</x:v>
      </x:c>
      <x:c r="F2" s="11" t="str">
        <x:v>No</x:v>
      </x:c>
      <x:c r="G2" s="11" t="str"/>
      <x:c r="H2" s="11" t="str">
        <x:v>5 screens + Seoul seed</x:v>
      </x:c>
      <x:c r="I2" s="11" t="str"/>
    </x:row>
    <x:row r="3">
      <x:c r="A3" s="11" t="str">
        <x:v>P0</x:v>
      </x:c>
      <x:c r="B3" s="11" t="str">
        <x:v>Foundation</x:v>
      </x:c>
      <x:c r="C3" s="11" t="str">
        <x:v>Initial 50-place seed DB</x:v>
      </x:c>
      <x:c r="D3" s="11" t="str">
        <x:v>ChatGPT</x:v>
      </x:c>
      <x:c r="E3" s="11" t="str">
        <x:v>Done</x:v>
      </x:c>
      <x:c r="F3" s="11" t="str">
        <x:v>No</x:v>
      </x:c>
      <x:c r="G3" s="11" t="str"/>
      <x:c r="H3" s="11" t="str">
        <x:v>data/seed_data.json</x:v>
      </x:c>
      <x:c r="I3" s="11" t="str"/>
    </x:row>
    <x:row r="4">
      <x:c r="A4" s="11" t="str">
        <x:v>P0</x:v>
      </x:c>
      <x:c r="B4" s="11" t="str">
        <x:v>Foundation</x:v>
      </x:c>
      <x:c r="C4" s="11" t="str">
        <x:v>Supabase schema + RLS</x:v>
      </x:c>
      <x:c r="D4" s="11" t="str">
        <x:v>ChatGPT</x:v>
      </x:c>
      <x:c r="E4" s="11" t="str">
        <x:v>Done</x:v>
      </x:c>
      <x:c r="F4" s="11" t="str">
        <x:v>No</x:v>
      </x:c>
      <x:c r="G4" s="11" t="str"/>
      <x:c r="H4" s="11" t="str">
        <x:v>supabase/01_schema.sql</x:v>
      </x:c>
      <x:c r="I4" s="11" t="str"/>
    </x:row>
    <x:row r="5">
      <x:c r="A5" s="11" t="str">
        <x:v>P0</x:v>
      </x:c>
      <x:c r="B5" s="11" t="str">
        <x:v>Foundation</x:v>
      </x:c>
      <x:c r="C5" s="11" t="str">
        <x:v>Seed SQL</x:v>
      </x:c>
      <x:c r="D5" s="11" t="str">
        <x:v>ChatGPT</x:v>
      </x:c>
      <x:c r="E5" s="11" t="str">
        <x:v>Done</x:v>
      </x:c>
      <x:c r="F5" s="11" t="str">
        <x:v>No</x:v>
      </x:c>
      <x:c r="G5" s="11" t="str">
        <x:v>Supabase schema</x:v>
      </x:c>
      <x:c r="H5" s="11" t="str">
        <x:v>supabase/02_seed_seoul50.sql</x:v>
      </x:c>
      <x:c r="I5" s="11" t="str"/>
    </x:row>
    <x:row r="6">
      <x:c r="A6" s="11" t="str">
        <x:v>P0</x:v>
      </x:c>
      <x:c r="B6" s="11" t="str">
        <x:v>Foundation</x:v>
      </x:c>
      <x:c r="C6" s="11" t="str">
        <x:v>Storage policy</x:v>
      </x:c>
      <x:c r="D6" s="11" t="str">
        <x:v>ChatGPT</x:v>
      </x:c>
      <x:c r="E6" s="11" t="str">
        <x:v>Done</x:v>
      </x:c>
      <x:c r="F6" s="11" t="str">
        <x:v>No</x:v>
      </x:c>
      <x:c r="G6" s="11" t="str">
        <x:v>Supabase schema</x:v>
      </x:c>
      <x:c r="H6" s="11" t="str">
        <x:v>supabase/03_storage.sql</x:v>
      </x:c>
      <x:c r="I6" s="11" t="str"/>
    </x:row>
    <x:row r="7">
      <x:c r="A7" s="11" t="str">
        <x:v>P0</x:v>
      </x:c>
      <x:c r="B7" s="11" t="str">
        <x:v>Foundation</x:v>
      </x:c>
      <x:c r="C7" s="11" t="str">
        <x:v>FlutterFlow helper RPC</x:v>
      </x:c>
      <x:c r="D7" s="11" t="str">
        <x:v>ChatGPT</x:v>
      </x:c>
      <x:c r="E7" s="11" t="str">
        <x:v>Done</x:v>
      </x:c>
      <x:c r="F7" s="11" t="str">
        <x:v>No</x:v>
      </x:c>
      <x:c r="G7" s="11" t="str">
        <x:v>Supabase schema</x:v>
      </x:c>
      <x:c r="H7" s="11" t="str">
        <x:v>supabase/04_flutterflow_rpc.sql</x:v>
      </x:c>
      <x:c r="I7" s="11" t="str"/>
    </x:row>
    <x:row r="8">
      <x:c r="A8" s="11" t="str">
        <x:v>P0</x:v>
      </x:c>
      <x:c r="B8" s="11" t="str">
        <x:v>Prototype</x:v>
      </x:c>
      <x:c r="C8" s="11" t="str">
        <x:v>Clickable mobile prototype</x:v>
      </x:c>
      <x:c r="D8" s="11" t="str">
        <x:v>ChatGPT</x:v>
      </x:c>
      <x:c r="E8" s="11" t="str">
        <x:v>Done</x:v>
      </x:c>
      <x:c r="F8" s="11" t="str">
        <x:v>No</x:v>
      </x:c>
      <x:c r="G8" s="11" t="str">
        <x:v>Seed DB</x:v>
      </x:c>
      <x:c r="H8" s="11" t="str">
        <x:v>prototype/single_file_prototype.html</x:v>
      </x:c>
      <x:c r="I8" s="11" t="str"/>
    </x:row>
    <x:row r="9">
      <x:c r="A9" s="11" t="str">
        <x:v>P0</x:v>
      </x:c>
      <x:c r="B9" s="11" t="str">
        <x:v>Prototype</x:v>
      </x:c>
      <x:c r="C9" s="11" t="str">
        <x:v>Home interaction</x:v>
      </x:c>
      <x:c r="D9" s="11" t="str">
        <x:v>ChatGPT</x:v>
      </x:c>
      <x:c r="E9" s="11" t="str">
        <x:v>Done</x:v>
      </x:c>
      <x:c r="F9" s="11" t="str">
        <x:v>No</x:v>
      </x:c>
      <x:c r="G9" s="11" t="str">
        <x:v>Prototype</x:v>
      </x:c>
      <x:c r="H9" s="11" t="str">
        <x:v>Home working</x:v>
      </x:c>
      <x:c r="I9" s="11" t="str"/>
    </x:row>
    <x:row r="10">
      <x:c r="A10" s="11" t="str">
        <x:v>P0</x:v>
      </x:c>
      <x:c r="B10" s="11" t="str">
        <x:v>Prototype</x:v>
      </x:c>
      <x:c r="C10" s="11" t="str">
        <x:v>Place detail dynamic template</x:v>
      </x:c>
      <x:c r="D10" s="11" t="str">
        <x:v>ChatGPT</x:v>
      </x:c>
      <x:c r="E10" s="11" t="str">
        <x:v>Done</x:v>
      </x:c>
      <x:c r="F10" s="11" t="str">
        <x:v>No</x:v>
      </x:c>
      <x:c r="G10" s="11" t="str">
        <x:v>Prototype</x:v>
      </x:c>
      <x:c r="H10" s="11" t="str">
        <x:v>Detail working</x:v>
      </x:c>
      <x:c r="I10" s="11" t="str"/>
    </x:row>
    <x:row r="11">
      <x:c r="A11" s="11" t="str">
        <x:v>P0</x:v>
      </x:c>
      <x:c r="B11" s="11" t="str">
        <x:v>Prototype</x:v>
      </x:c>
      <x:c r="C11" s="11" t="str">
        <x:v>Curation detail</x:v>
      </x:c>
      <x:c r="D11" s="11" t="str">
        <x:v>ChatGPT</x:v>
      </x:c>
      <x:c r="E11" s="11" t="str">
        <x:v>Done</x:v>
      </x:c>
      <x:c r="F11" s="11" t="str">
        <x:v>No</x:v>
      </x:c>
      <x:c r="G11" s="11" t="str">
        <x:v>Prototype</x:v>
      </x:c>
      <x:c r="H11" s="11" t="str">
        <x:v>6 curations working</x:v>
      </x:c>
      <x:c r="I11" s="11" t="str"/>
    </x:row>
    <x:row r="12">
      <x:c r="A12" s="11" t="str">
        <x:v>P0</x:v>
      </x:c>
      <x:c r="B12" s="11" t="str">
        <x:v>Prototype</x:v>
      </x:c>
      <x:c r="C12" s="11" t="str">
        <x:v>Save/Visited local prototype</x:v>
      </x:c>
      <x:c r="D12" s="11" t="str">
        <x:v>ChatGPT</x:v>
      </x:c>
      <x:c r="E12" s="11" t="str">
        <x:v>Done</x:v>
      </x:c>
      <x:c r="F12" s="11" t="str">
        <x:v>No</x:v>
      </x:c>
      <x:c r="G12" s="11" t="str">
        <x:v>Prototype</x:v>
      </x:c>
      <x:c r="H12" s="11" t="str">
        <x:v>localStorage working</x:v>
      </x:c>
      <x:c r="I12" s="11" t="str"/>
    </x:row>
    <x:row r="13">
      <x:c r="A13" s="11" t="str">
        <x:v>P0</x:v>
      </x:c>
      <x:c r="B13" s="11" t="str">
        <x:v>Data</x:v>
      </x:c>
      <x:c r="C13" s="11" t="str">
        <x:v>Verify 50 addresses</x:v>
      </x:c>
      <x:c r="D13" s="11" t="str">
        <x:v>User/ChatGPT</x:v>
      </x:c>
      <x:c r="E13" s="11" t="str">
        <x:v>In progress</x:v>
      </x:c>
      <x:c r="F13" s="11" t="str">
        <x:v>No</x:v>
      </x:c>
      <x:c r="G13" s="11" t="str">
        <x:v>Seed DB</x:v>
      </x:c>
      <x:c r="H13" s="11" t="str">
        <x:v>verified addresses</x:v>
      </x:c>
      <x:c r="I13" s="11" t="str">
        <x:v>Manual review for ambiguous sites</x:v>
      </x:c>
    </x:row>
    <x:row r="14">
      <x:c r="A14" s="11" t="str">
        <x:v>P0</x:v>
      </x:c>
      <x:c r="B14" s="11" t="str">
        <x:v>Data</x:v>
      </x:c>
      <x:c r="C14" s="11" t="str">
        <x:v>Geocode 50 places</x:v>
      </x:c>
      <x:c r="D14" s="11" t="str">
        <x:v>User/ChatGPT</x:v>
      </x:c>
      <x:c r="E14" s="11" t="str">
        <x:v>Blocked</x:v>
      </x:c>
      <x:c r="F14" s="11" t="str">
        <x:v>Yes</x:v>
      </x:c>
      <x:c r="G14" s="11" t="str">
        <x:v>Verified addresses</x:v>
      </x:c>
      <x:c r="H14" s="11" t="str">
        <x:v>lat/lng in Supabase</x:v>
      </x:c>
      <x:c r="I14" s="11" t="str">
        <x:v>Needs map/geocoding provider</x:v>
      </x:c>
    </x:row>
    <x:row r="15">
      <x:c r="A15" s="11" t="str">
        <x:v>P0</x:v>
      </x:c>
      <x:c r="B15" s="11" t="str">
        <x:v>Data</x:v>
      </x:c>
      <x:c r="C15" s="11" t="str">
        <x:v>Re-verify current operation/programs</x:v>
      </x:c>
      <x:c r="D15" s="11" t="str">
        <x:v>User/ChatGPT</x:v>
      </x:c>
      <x:c r="E15" s="11" t="str">
        <x:v>In progress</x:v>
      </x:c>
      <x:c r="F15" s="11" t="str">
        <x:v>No</x:v>
      </x:c>
      <x:c r="G15" s="11" t="str">
        <x:v>Seed DB</x:v>
      </x:c>
      <x:c r="H15" s="11" t="str">
        <x:v>current status</x:v>
      </x:c>
      <x:c r="I15" s="11" t="str">
        <x:v>Refresh before launch</x:v>
      </x:c>
    </x:row>
    <x:row r="16">
      <x:c r="A16" s="11" t="str">
        <x:v>P0</x:v>
      </x:c>
      <x:c r="B16" s="11" t="str">
        <x:v>Media</x:v>
      </x:c>
      <x:c r="C16" s="11" t="str">
        <x:v>Select launch photo policy</x:v>
      </x:c>
      <x:c r="D16" s="11" t="str">
        <x:v>User</x:v>
      </x:c>
      <x:c r="E16" s="11" t="str">
        <x:v>Todo</x:v>
      </x:c>
      <x:c r="F16" s="11" t="str">
        <x:v>No</x:v>
      </x:c>
      <x:c r="G16" s="11" t="str"/>
      <x:c r="H16" s="11" t="str">
        <x:v>rights policy</x:v>
      </x:c>
      <x:c r="I16" s="11" t="str"/>
    </x:row>
    <x:row r="17">
      <x:c r="A17" s="11" t="str">
        <x:v>P0</x:v>
      </x:c>
      <x:c r="B17" s="11" t="str">
        <x:v>Media</x:v>
      </x:c>
      <x:c r="C17" s="11" t="str">
        <x:v>Secure cover images for MVP A</x:v>
      </x:c>
      <x:c r="D17" s="11" t="str">
        <x:v>User</x:v>
      </x:c>
      <x:c r="E17" s="11" t="str">
        <x:v>Todo</x:v>
      </x:c>
      <x:c r="F17" s="11" t="str">
        <x:v>No</x:v>
      </x:c>
      <x:c r="G17" s="11" t="str">
        <x:v>Photo policy</x:v>
      </x:c>
      <x:c r="H17" s="11" t="str">
        <x:v>20+ licensed covers</x:v>
      </x:c>
      <x:c r="I17" s="11" t="str"/>
    </x:row>
    <x:row r="18">
      <x:c r="A18" s="11" t="str">
        <x:v>P0</x:v>
      </x:c>
      <x:c r="B18" s="11" t="str">
        <x:v>Media</x:v>
      </x:c>
      <x:c r="C18" s="11" t="str">
        <x:v>Populate media copyright metadata</x:v>
      </x:c>
      <x:c r="D18" s="11" t="str">
        <x:v>User/ChatGPT</x:v>
      </x:c>
      <x:c r="E18" s="11" t="str">
        <x:v>Todo</x:v>
      </x:c>
      <x:c r="F18" s="11" t="str">
        <x:v>No</x:v>
      </x:c>
      <x:c r="G18" s="11" t="str">
        <x:v>Licensed images</x:v>
      </x:c>
      <x:c r="H18" s="11" t="str">
        <x:v>media rows</x:v>
      </x:c>
      <x:c r="I18" s="11" t="str"/>
    </x:row>
    <x:row r="19">
      <x:c r="A19" s="11" t="str">
        <x:v>P0</x:v>
      </x:c>
      <x:c r="B19" s="11" t="str">
        <x:v>Supabase</x:v>
      </x:c>
      <x:c r="C19" s="11" t="str">
        <x:v>Create Supabase account/project</x:v>
      </x:c>
      <x:c r="D19" s="11" t="str">
        <x:v>User</x:v>
      </x:c>
      <x:c r="E19" s="11" t="str">
        <x:v>Blocked</x:v>
      </x:c>
      <x:c r="F19" s="11" t="str">
        <x:v>Yes</x:v>
      </x:c>
      <x:c r="G19" s="11" t="str"/>
      <x:c r="H19" s="11" t="str">
        <x:v>Project</x:v>
      </x:c>
      <x:c r="I19" s="11" t="str"/>
    </x:row>
    <x:row r="20">
      <x:c r="A20" s="11" t="str">
        <x:v>P0</x:v>
      </x:c>
      <x:c r="B20" s="11" t="str">
        <x:v>Supabase</x:v>
      </x:c>
      <x:c r="C20" s="11" t="str">
        <x:v>Run 01_schema.sql</x:v>
      </x:c>
      <x:c r="D20" s="11" t="str">
        <x:v>User/ChatGPT</x:v>
      </x:c>
      <x:c r="E20" s="11" t="str">
        <x:v>Blocked</x:v>
      </x:c>
      <x:c r="F20" s="11" t="str">
        <x:v>Yes</x:v>
      </x:c>
      <x:c r="G20" s="11" t="str">
        <x:v>Supabase project</x:v>
      </x:c>
      <x:c r="H20" s="11" t="str">
        <x:v>DB schema</x:v>
      </x:c>
      <x:c r="I20" s="11" t="str"/>
    </x:row>
    <x:row r="21">
      <x:c r="A21" s="11" t="str">
        <x:v>P0</x:v>
      </x:c>
      <x:c r="B21" s="11" t="str">
        <x:v>Supabase</x:v>
      </x:c>
      <x:c r="C21" s="11" t="str">
        <x:v>Run 02_seed_seoul50.sql</x:v>
      </x:c>
      <x:c r="D21" s="11" t="str">
        <x:v>User/ChatGPT</x:v>
      </x:c>
      <x:c r="E21" s="11" t="str">
        <x:v>Blocked</x:v>
      </x:c>
      <x:c r="F21" s="11" t="str">
        <x:v>Yes</x:v>
      </x:c>
      <x:c r="G21" s="11" t="str">
        <x:v>Schema</x:v>
      </x:c>
      <x:c r="H21" s="11" t="str">
        <x:v>50 places loaded</x:v>
      </x:c>
      <x:c r="I21" s="11" t="str"/>
    </x:row>
    <x:row r="22">
      <x:c r="A22" s="11" t="str">
        <x:v>P0</x:v>
      </x:c>
      <x:c r="B22" s="11" t="str">
        <x:v>Supabase</x:v>
      </x:c>
      <x:c r="C22" s="11" t="str">
        <x:v>Run 03_storage.sql</x:v>
      </x:c>
      <x:c r="D22" s="11" t="str">
        <x:v>User/ChatGPT</x:v>
      </x:c>
      <x:c r="E22" s="11" t="str">
        <x:v>Blocked</x:v>
      </x:c>
      <x:c r="F22" s="11" t="str">
        <x:v>Yes</x:v>
      </x:c>
      <x:c r="G22" s="11" t="str">
        <x:v>Schema</x:v>
      </x:c>
      <x:c r="H22" s="11" t="str">
        <x:v>bucket/policy</x:v>
      </x:c>
      <x:c r="I22" s="11" t="str"/>
    </x:row>
    <x:row r="23">
      <x:c r="A23" s="11" t="str">
        <x:v>P0</x:v>
      </x:c>
      <x:c r="B23" s="11" t="str">
        <x:v>Supabase</x:v>
      </x:c>
      <x:c r="C23" s="11" t="str">
        <x:v>Run 04_flutterflow_rpc.sql</x:v>
      </x:c>
      <x:c r="D23" s="11" t="str">
        <x:v>User/ChatGPT</x:v>
      </x:c>
      <x:c r="E23" s="11" t="str">
        <x:v>Blocked</x:v>
      </x:c>
      <x:c r="F23" s="11" t="str">
        <x:v>Yes</x:v>
      </x:c>
      <x:c r="G23" s="11" t="str">
        <x:v>Schema</x:v>
      </x:c>
      <x:c r="H23" s="11" t="str">
        <x:v>RPCs</x:v>
      </x:c>
      <x:c r="I23" s="11" t="str"/>
    </x:row>
    <x:row r="24">
      <x:c r="A24" s="11" t="str">
        <x:v>P0</x:v>
      </x:c>
      <x:c r="B24" s="11" t="str">
        <x:v>Supabase</x:v>
      </x:c>
      <x:c r="C24" s="11" t="str">
        <x:v>Run audit/smoke tests</x:v>
      </x:c>
      <x:c r="D24" s="11" t="str">
        <x:v>User/ChatGPT</x:v>
      </x:c>
      <x:c r="E24" s="11" t="str">
        <x:v>Blocked</x:v>
      </x:c>
      <x:c r="F24" s="11" t="str">
        <x:v>Yes</x:v>
      </x:c>
      <x:c r="G24" s="11" t="str">
        <x:v>Seed loaded</x:v>
      </x:c>
      <x:c r="H24" s="11" t="str">
        <x:v>QA report</x:v>
      </x:c>
      <x:c r="I24" s="11" t="str"/>
    </x:row>
    <x:row r="25">
      <x:c r="A25" s="11" t="str">
        <x:v>P0</x:v>
      </x:c>
      <x:c r="B25" s="11" t="str">
        <x:v>FlutterFlow</x:v>
      </x:c>
      <x:c r="C25" s="11" t="str">
        <x:v>Create FlutterFlow project</x:v>
      </x:c>
      <x:c r="D25" s="11" t="str">
        <x:v>User</x:v>
      </x:c>
      <x:c r="E25" s="11" t="str">
        <x:v>Blocked</x:v>
      </x:c>
      <x:c r="F25" s="11" t="str">
        <x:v>Yes</x:v>
      </x:c>
      <x:c r="G25" s="11" t="str"/>
      <x:c r="H25" s="11" t="str">
        <x:v>Project</x:v>
      </x:c>
      <x:c r="I25" s="11" t="str"/>
    </x:row>
    <x:row r="26">
      <x:c r="A26" s="11" t="str">
        <x:v>P0</x:v>
      </x:c>
      <x:c r="B26" s="11" t="str">
        <x:v>FlutterFlow</x:v>
      </x:c>
      <x:c r="C26" s="11" t="str">
        <x:v>Connect Supabase OAuth/Get Schema</x:v>
      </x:c>
      <x:c r="D26" s="11" t="str">
        <x:v>User/ChatGPT</x:v>
      </x:c>
      <x:c r="E26" s="11" t="str">
        <x:v>Blocked</x:v>
      </x:c>
      <x:c r="F26" s="11" t="str">
        <x:v>Yes</x:v>
      </x:c>
      <x:c r="G26" s="11" t="str">
        <x:v>Both projects</x:v>
      </x:c>
      <x:c r="H26" s="11" t="str">
        <x:v>Schema visible</x:v>
      </x:c>
      <x:c r="I26" s="11" t="str"/>
    </x:row>
    <x:row r="27">
      <x:c r="A27" s="11" t="str">
        <x:v>P0</x:v>
      </x:c>
      <x:c r="B27" s="11" t="str">
        <x:v>FlutterFlow</x:v>
      </x:c>
      <x:c r="C27" s="11" t="str">
        <x:v>Set theme tokens</x:v>
      </x:c>
      <x:c r="D27" s="11" t="str">
        <x:v>User/ChatGPT</x:v>
      </x:c>
      <x:c r="E27" s="11" t="str">
        <x:v>Blocked</x:v>
      </x:c>
      <x:c r="F27" s="11" t="str">
        <x:v>Yes</x:v>
      </x:c>
      <x:c r="G27" s="11" t="str">
        <x:v>FF project</x:v>
      </x:c>
      <x:c r="H27" s="11" t="str">
        <x:v>Theme</x:v>
      </x:c>
      <x:c r="I27" s="11" t="str"/>
    </x:row>
    <x:row r="28">
      <x:c r="A28" s="11" t="str">
        <x:v>P0</x:v>
      </x:c>
      <x:c r="B28" s="11" t="str">
        <x:v>FlutterFlow</x:v>
      </x:c>
      <x:c r="C28" s="11" t="str">
        <x:v>Build reusable components</x:v>
      </x:c>
      <x:c r="D28" s="11" t="str">
        <x:v>User/ChatGPT</x:v>
      </x:c>
      <x:c r="E28" s="11" t="str">
        <x:v>Blocked</x:v>
      </x:c>
      <x:c r="F28" s="11" t="str">
        <x:v>Yes</x:v>
      </x:c>
      <x:c r="G28" s="11" t="str">
        <x:v>Theme</x:v>
      </x:c>
      <x:c r="H28" s="11" t="str">
        <x:v>Components</x:v>
      </x:c>
      <x:c r="I28" s="11" t="str"/>
    </x:row>
    <x:row r="29">
      <x:c r="A29" s="11" t="str">
        <x:v>P0</x:v>
      </x:c>
      <x:c r="B29" s="11" t="str">
        <x:v>FlutterFlow</x:v>
      </x:c>
      <x:c r="C29" s="11" t="str">
        <x:v>Build HomePage</x:v>
      </x:c>
      <x:c r="D29" s="11" t="str">
        <x:v>User/ChatGPT</x:v>
      </x:c>
      <x:c r="E29" s="11" t="str">
        <x:v>Blocked</x:v>
      </x:c>
      <x:c r="F29" s="11" t="str">
        <x:v>Yes</x:v>
      </x:c>
      <x:c r="G29" s="11" t="str">
        <x:v>Components</x:v>
      </x:c>
      <x:c r="H29" s="11" t="str">
        <x:v>Home</x:v>
      </x:c>
      <x:c r="I29" s="11" t="str"/>
    </x:row>
    <x:row r="30">
      <x:c r="A30" s="11" t="str">
        <x:v>P0</x:v>
      </x:c>
      <x:c r="B30" s="11" t="str">
        <x:v>FlutterFlow</x:v>
      </x:c>
      <x:c r="C30" s="11" t="str">
        <x:v>Build PlaceDetailPage</x:v>
      </x:c>
      <x:c r="D30" s="11" t="str">
        <x:v>User/ChatGPT</x:v>
      </x:c>
      <x:c r="E30" s="11" t="str">
        <x:v>Blocked</x:v>
      </x:c>
      <x:c r="F30" s="11" t="str">
        <x:v>Yes</x:v>
      </x:c>
      <x:c r="G30" s="11" t="str">
        <x:v>Home</x:v>
      </x:c>
      <x:c r="H30" s="11" t="str">
        <x:v>Detail</x:v>
      </x:c>
      <x:c r="I30" s="11" t="str"/>
    </x:row>
    <x:row r="31">
      <x:c r="A31" s="11" t="str">
        <x:v>P0</x:v>
      </x:c>
      <x:c r="B31" s="11" t="str">
        <x:v>FlutterFlow</x:v>
      </x:c>
      <x:c r="C31" s="11" t="str">
        <x:v>Build Curation pages</x:v>
      </x:c>
      <x:c r="D31" s="11" t="str">
        <x:v>User/ChatGPT</x:v>
      </x:c>
      <x:c r="E31" s="11" t="str">
        <x:v>Blocked</x:v>
      </x:c>
      <x:c r="F31" s="11" t="str">
        <x:v>Yes</x:v>
      </x:c>
      <x:c r="G31" s="11" t="str">
        <x:v>Components</x:v>
      </x:c>
      <x:c r="H31" s="11" t="str">
        <x:v>Curation</x:v>
      </x:c>
      <x:c r="I31" s="11" t="str"/>
    </x:row>
    <x:row r="32">
      <x:c r="A32" s="11" t="str">
        <x:v>P0</x:v>
      </x:c>
      <x:c r="B32" s="11" t="str">
        <x:v>Maps</x:v>
      </x:c>
      <x:c r="C32" s="11" t="str">
        <x:v>Create Google Cloud project/API keys</x:v>
      </x:c>
      <x:c r="D32" s="11" t="str">
        <x:v>User</x:v>
      </x:c>
      <x:c r="E32" s="11" t="str">
        <x:v>Blocked</x:v>
      </x:c>
      <x:c r="F32" s="11" t="str">
        <x:v>Yes</x:v>
      </x:c>
      <x:c r="G32" s="11" t="str"/>
      <x:c r="H32" s="11" t="str">
        <x:v>Maps keys</x:v>
      </x:c>
      <x:c r="I32" s="11" t="str"/>
    </x:row>
    <x:row r="33">
      <x:c r="A33" s="11" t="str">
        <x:v>P0</x:v>
      </x:c>
      <x:c r="B33" s="11" t="str">
        <x:v>Maps</x:v>
      </x:c>
      <x:c r="C33" s="11" t="str">
        <x:v>Apply API key restrictions</x:v>
      </x:c>
      <x:c r="D33" s="11" t="str">
        <x:v>User/ChatGPT</x:v>
      </x:c>
      <x:c r="E33" s="11" t="str">
        <x:v>Blocked</x:v>
      </x:c>
      <x:c r="F33" s="11" t="str">
        <x:v>Yes</x:v>
      </x:c>
      <x:c r="G33" s="11" t="str">
        <x:v>Maps keys</x:v>
      </x:c>
      <x:c r="H33" s="11" t="str">
        <x:v>restricted keys</x:v>
      </x:c>
      <x:c r="I33" s="11" t="str"/>
    </x:row>
    <x:row r="34">
      <x:c r="A34" s="11" t="str">
        <x:v>P0</x:v>
      </x:c>
      <x:c r="B34" s="11" t="str">
        <x:v>Maps</x:v>
      </x:c>
      <x:c r="C34" s="11" t="str">
        <x:v>Build MapPage</x:v>
      </x:c>
      <x:c r="D34" s="11" t="str">
        <x:v>User/ChatGPT</x:v>
      </x:c>
      <x:c r="E34" s="11" t="str">
        <x:v>Blocked</x:v>
      </x:c>
      <x:c r="F34" s="11" t="str">
        <x:v>Yes</x:v>
      </x:c>
      <x:c r="G34" s="11" t="str">
        <x:v>Geocoding + Maps keys</x:v>
      </x:c>
      <x:c r="H34" s="11" t="str">
        <x:v>Map</x:v>
      </x:c>
      <x:c r="I34" s="11" t="str"/>
    </x:row>
    <x:row r="35">
      <x:c r="A35" s="11" t="str">
        <x:v>P0</x:v>
      </x:c>
      <x:c r="B35" s="11" t="str">
        <x:v>Auth</x:v>
      </x:c>
      <x:c r="C35" s="11" t="str">
        <x:v>Enable Supabase Auth</x:v>
      </x:c>
      <x:c r="D35" s="11" t="str">
        <x:v>User/ChatGPT</x:v>
      </x:c>
      <x:c r="E35" s="11" t="str">
        <x:v>Blocked</x:v>
      </x:c>
      <x:c r="F35" s="11" t="str">
        <x:v>Yes</x:v>
      </x:c>
      <x:c r="G35" s="11" t="str">
        <x:v>Supabase/FF</x:v>
      </x:c>
      <x:c r="H35" s="11" t="str">
        <x:v>Auth</x:v>
      </x:c>
      <x:c r="I35" s="11" t="str"/>
    </x:row>
    <x:row r="36">
      <x:c r="A36" s="11" t="str">
        <x:v>P0</x:v>
      </x:c>
      <x:c r="B36" s="11" t="str">
        <x:v>Auth</x:v>
      </x:c>
      <x:c r="C36" s="11" t="str">
        <x:v>Save toggle production</x:v>
      </x:c>
      <x:c r="D36" s="11" t="str">
        <x:v>User/ChatGPT</x:v>
      </x:c>
      <x:c r="E36" s="11" t="str">
        <x:v>Blocked</x:v>
      </x:c>
      <x:c r="F36" s="11" t="str">
        <x:v>Yes</x:v>
      </x:c>
      <x:c r="G36" s="11" t="str">
        <x:v>Auth/RPC</x:v>
      </x:c>
      <x:c r="H36" s="11" t="str">
        <x:v>Saved</x:v>
      </x:c>
      <x:c r="I36" s="11" t="str"/>
    </x:row>
    <x:row r="37">
      <x:c r="A37" s="11" t="str">
        <x:v>P0</x:v>
      </x:c>
      <x:c r="B37" s="11" t="str">
        <x:v>Auth</x:v>
      </x:c>
      <x:c r="C37" s="11" t="str">
        <x:v>Visited production</x:v>
      </x:c>
      <x:c r="D37" s="11" t="str">
        <x:v>User/ChatGPT</x:v>
      </x:c>
      <x:c r="E37" s="11" t="str">
        <x:v>Blocked</x:v>
      </x:c>
      <x:c r="F37" s="11" t="str">
        <x:v>Yes</x:v>
      </x:c>
      <x:c r="G37" s="11" t="str">
        <x:v>Auth/RPC</x:v>
      </x:c>
      <x:c r="H37" s="11" t="str">
        <x:v>Visited</x:v>
      </x:c>
      <x:c r="I37" s="11" t="str"/>
    </x:row>
    <x:row r="38">
      <x:c r="A38" s="11" t="str">
        <x:v>P0</x:v>
      </x:c>
      <x:c r="B38" s="11" t="str">
        <x:v>FlutterFlow</x:v>
      </x:c>
      <x:c r="C38" s="11" t="str">
        <x:v>Build My Light Map</x:v>
      </x:c>
      <x:c r="D38" s="11" t="str">
        <x:v>User/ChatGPT</x:v>
      </x:c>
      <x:c r="E38" s="11" t="str">
        <x:v>Blocked</x:v>
      </x:c>
      <x:c r="F38" s="11" t="str">
        <x:v>Yes</x:v>
      </x:c>
      <x:c r="G38" s="11" t="str">
        <x:v>Auth + Maps</x:v>
      </x:c>
      <x:c r="H38" s="11" t="str">
        <x:v>My</x:v>
      </x:c>
      <x:c r="I38" s="11" t="str"/>
    </x:row>
    <x:row r="39">
      <x:c r="A39" s="11" t="str">
        <x:v>P1</x:v>
      </x:c>
      <x:c r="B39" s="11" t="str">
        <x:v>Search</x:v>
      </x:c>
      <x:c r="C39" s="11" t="str">
        <x:v>Connect search_places RPC</x:v>
      </x:c>
      <x:c r="D39" s="11" t="str">
        <x:v>User/ChatGPT</x:v>
      </x:c>
      <x:c r="E39" s="11" t="str">
        <x:v>Blocked</x:v>
      </x:c>
      <x:c r="F39" s="11" t="str">
        <x:v>Yes</x:v>
      </x:c>
      <x:c r="G39" s="11" t="str">
        <x:v>Supabase/FF</x:v>
      </x:c>
      <x:c r="H39" s="11" t="str">
        <x:v>Search</x:v>
      </x:c>
      <x:c r="I39" s="11" t="str"/>
    </x:row>
    <x:row r="40">
      <x:c r="A40" s="11" t="str">
        <x:v>P1</x:v>
      </x:c>
      <x:c r="B40" s="11" t="str">
        <x:v>Release</x:v>
      </x:c>
      <x:c r="C40" s="11" t="str">
        <x:v>Privacy policy finalization</x:v>
      </x:c>
      <x:c r="D40" s="11" t="str">
        <x:v>User</x:v>
      </x:c>
      <x:c r="E40" s="11" t="str">
        <x:v>Todo</x:v>
      </x:c>
      <x:c r="F40" s="11" t="str">
        <x:v>No</x:v>
      </x:c>
      <x:c r="G40" s="11" t="str">
        <x:v>Operating entity</x:v>
      </x:c>
      <x:c r="H40" s="11" t="str">
        <x:v>Policy URL</x:v>
      </x:c>
      <x:c r="I40" s="11" t="str"/>
    </x:row>
    <x:row r="41">
      <x:c r="A41" s="11" t="str">
        <x:v>P1</x:v>
      </x:c>
      <x:c r="B41" s="11" t="str">
        <x:v>Release</x:v>
      </x:c>
      <x:c r="C41" s="11" t="str">
        <x:v>Support email / URL</x:v>
      </x:c>
      <x:c r="D41" s="11" t="str">
        <x:v>User</x:v>
      </x:c>
      <x:c r="E41" s="11" t="str">
        <x:v>Todo</x:v>
      </x:c>
      <x:c r="F41" s="11" t="str">
        <x:v>No</x:v>
      </x:c>
      <x:c r="G41" s="11" t="str"/>
      <x:c r="H41" s="11" t="str">
        <x:v>Support info</x:v>
      </x:c>
      <x:c r="I41" s="11" t="str"/>
    </x:row>
    <x:row r="42">
      <x:c r="A42" s="11" t="str">
        <x:v>P1</x:v>
      </x:c>
      <x:c r="B42" s="11" t="str">
        <x:v>QA</x:v>
      </x:c>
      <x:c r="C42" s="11" t="str">
        <x:v>Run QA test suite</x:v>
      </x:c>
      <x:c r="D42" s="11" t="str">
        <x:v>User/ChatGPT</x:v>
      </x:c>
      <x:c r="E42" s="11" t="str">
        <x:v>Blocked</x:v>
      </x:c>
      <x:c r="F42" s="11" t="str">
        <x:v>Yes</x:v>
      </x:c>
      <x:c r="G42" s="11" t="str">
        <x:v>App build</x:v>
      </x:c>
      <x:c r="H42" s="11" t="str">
        <x:v>QA pass</x:v>
      </x:c>
      <x:c r="I42" s="11" t="str"/>
    </x:row>
    <x:row r="43">
      <x:c r="A43" s="11" t="str">
        <x:v>P1</x:v>
      </x:c>
      <x:c r="B43" s="11" t="str">
        <x:v>QA</x:v>
      </x:c>
      <x:c r="C43" s="11" t="str">
        <x:v>Android real-device test</x:v>
      </x:c>
      <x:c r="D43" s="11" t="str">
        <x:v>User</x:v>
      </x:c>
      <x:c r="E43" s="11" t="str">
        <x:v>Blocked</x:v>
      </x:c>
      <x:c r="F43" s="11" t="str">
        <x:v>Yes</x:v>
      </x:c>
      <x:c r="G43" s="11" t="str">
        <x:v>App build</x:v>
      </x:c>
      <x:c r="H43" s="11" t="str">
        <x:v>Device QA</x:v>
      </x:c>
      <x:c r="I43" s="11" t="str"/>
    </x:row>
    <x:row r="44">
      <x:c r="A44" s="11" t="str">
        <x:v>P1</x:v>
      </x:c>
      <x:c r="B44" s="11" t="str">
        <x:v>QA</x:v>
      </x:c>
      <x:c r="C44" s="11" t="str">
        <x:v>iOS TestFlight test</x:v>
      </x:c>
      <x:c r="D44" s="11" t="str">
        <x:v>User</x:v>
      </x:c>
      <x:c r="E44" s="11" t="str">
        <x:v>Blocked</x:v>
      </x:c>
      <x:c r="F44" s="11" t="str">
        <x:v>Yes</x:v>
      </x:c>
      <x:c r="G44" s="11" t="str">
        <x:v>Apple account/build</x:v>
      </x:c>
      <x:c r="H44" s="11" t="str">
        <x:v>Device QA</x:v>
      </x:c>
      <x:c r="I44" s="11" t="str"/>
    </x:row>
    <x:row r="45">
      <x:c r="A45" s="11" t="str">
        <x:v>P1</x:v>
      </x:c>
      <x:c r="B45" s="11" t="str">
        <x:v>Release</x:v>
      </x:c>
      <x:c r="C45" s="11" t="str">
        <x:v>Store screenshots</x:v>
      </x:c>
      <x:c r="D45" s="11" t="str">
        <x:v>User/ChatGPT</x:v>
      </x:c>
      <x:c r="E45" s="11" t="str">
        <x:v>Blocked</x:v>
      </x:c>
      <x:c r="F45" s="11" t="str">
        <x:v>Yes</x:v>
      </x:c>
      <x:c r="G45" s="11" t="str">
        <x:v>Final UI</x:v>
      </x:c>
      <x:c r="H45" s="11" t="str">
        <x:v>Screenshots</x:v>
      </x:c>
      <x:c r="I45" s="11" t="str"/>
    </x:row>
    <x:row r="46">
      <x:c r="A46" s="11" t="str">
        <x:v>P1</x:v>
      </x:c>
      <x:c r="B46" s="11" t="str">
        <x:v>Release</x:v>
      </x:c>
      <x:c r="C46" s="11" t="str">
        <x:v>Google Play submission</x:v>
      </x:c>
      <x:c r="D46" s="11" t="str">
        <x:v>User</x:v>
      </x:c>
      <x:c r="E46" s="11" t="str">
        <x:v>Blocked</x:v>
      </x:c>
      <x:c r="F46" s="11" t="str">
        <x:v>Yes</x:v>
      </x:c>
      <x:c r="G46" s="11" t="str">
        <x:v>Play account</x:v>
      </x:c>
      <x:c r="H46" s="11" t="str">
        <x:v>Release</x:v>
      </x:c>
      <x:c r="I46" s="11" t="str"/>
    </x:row>
    <x:row r="47">
      <x:c r="A47" s="11" t="str">
        <x:v>P1</x:v>
      </x:c>
      <x:c r="B47" s="11" t="str">
        <x:v>Release</x:v>
      </x:c>
      <x:c r="C47" s="11" t="str">
        <x:v>Apple App Store submission</x:v>
      </x:c>
      <x:c r="D47" s="11" t="str">
        <x:v>User</x:v>
      </x:c>
      <x:c r="E47" s="11" t="str">
        <x:v>Blocked</x:v>
      </x:c>
      <x:c r="F47" s="11" t="str">
        <x:v>Yes</x:v>
      </x:c>
      <x:c r="G47" s="11" t="str">
        <x:v>Apple Developer</x:v>
      </x:c>
      <x:c r="H47" s="11" t="str">
        <x:v>Release</x:v>
      </x:c>
      <x:c r="I47" s="11" t="str"/>
    </x:row>
  </x:sheetData>
  <x:conditionalFormatting sqref="E2:E47">
    <x:cfRule type="expression" dxfId="0" priority="1">
      <x:formula>E2="Done"</x:formula>
    </x:cfRule>
    <x:cfRule type="expression" dxfId="1" priority="2">
      <x:formula>E2="In progress"</x:formula>
    </x:cfRule>
    <x:cfRule type="expression" dxfId="2" priority="3">
      <x:formula>E2="Blocked"</x:formula>
    </x:cfRule>
  </x:conditionalFormatting>
  <x:dataValidations count="1">
    <x:dataValidation type="list" sqref="E2:E47">
      <x:formula1>"Done,In progress,Todo,Blocked"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e6f42fb6a147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</x:cols>
  <x:sheetData>
    <x:row r="1">
      <x:c r="A1" s="22" t="str">
        <x:v>빛의 건축 v0.1</x:v>
      </x:c>
      <x:c r="B1" s="11" t="str">
        <x:v>구현 준비도</x:v>
      </x:c>
      <x:c r="C1" s="11" t="str"/>
      <x:c r="D1" s="11" t="str"/>
    </x:row>
    <x:row r="2">
      <x:c r="A2" s="11"/>
      <x:c r="B2" s="11"/>
      <x:c r="C2" s="11"/>
      <x:c r="D2" s="11"/>
    </x:row>
    <x:row r="3">
      <x:c r="A3" s="23" t="str">
        <x:v>Metric</x:v>
      </x:c>
      <x:c r="B3" s="23" t="str">
        <x:v>Value</x:v>
      </x:c>
      <x:c r="C3" s="11"/>
      <x:c r="D3" s="11"/>
    </x:row>
    <x:row r="4">
      <x:c r="A4" s="11" t="str">
        <x:v>Total tasks</x:v>
      </x:c>
      <x:c r="B4" s="11" t="n">
        <x:f>COUNTA('MVP Tracker'!C2:C47)</x:f>
        <x:v>46</x:v>
      </x:c>
      <x:c r="C4" s="11"/>
      <x:c r="D4" s="11"/>
    </x:row>
    <x:row r="5">
      <x:c r="A5" s="11" t="str">
        <x:v>Done</x:v>
      </x:c>
      <x:c r="B5" s="11" t="n">
        <x:f>COUNTIF('MVP Tracker'!E2:E47,"Done")</x:f>
        <x:v>11</x:v>
      </x:c>
      <x:c r="C5" s="11"/>
      <x:c r="D5" s="11"/>
    </x:row>
    <x:row r="6">
      <x:c r="A6" s="11" t="str">
        <x:v>In progress</x:v>
      </x:c>
      <x:c r="B6" s="11" t="n">
        <x:f>COUNTIF('MVP Tracker'!E2:E47,"In progress")</x:f>
        <x:v>2</x:v>
      </x:c>
      <x:c r="C6" s="11"/>
      <x:c r="D6" s="11"/>
    </x:row>
    <x:row r="7">
      <x:c r="A7" s="11" t="str">
        <x:v>Blocked (account/dependency)</x:v>
      </x:c>
      <x:c r="B7" s="11" t="n">
        <x:f>COUNTIF('MVP Tracker'!E2:E47,"Blocked")</x:f>
        <x:v>28</x:v>
      </x:c>
      <x:c r="C7" s="11"/>
      <x:c r="D7" s="11"/>
    </x:row>
    <x:row r="8">
      <x:c r="A8" s="11"/>
      <x:c r="B8" s="11"/>
      <x:c r="C8" s="11"/>
      <x:c r="D8" s="11"/>
    </x:row>
    <x:row r="9">
      <x:c r="A9" s="24" t="str">
        <x:v>Account Gate</x:v>
      </x:c>
      <x:c r="B9" s="24" t="str">
        <x:v>Status</x:v>
      </x:c>
      <x:c r="C9" s="11"/>
      <x:c r="D9" s="11"/>
    </x:row>
    <x:row r="10">
      <x:c r="A10" s="11" t="str">
        <x:v>Supabase</x:v>
      </x:c>
      <x:c r="B10" s="11" t="str">
        <x:v>Not created</x:v>
      </x:c>
      <x:c r="C10" s="11"/>
      <x:c r="D10" s="11"/>
    </x:row>
    <x:row r="11">
      <x:c r="A11" s="11" t="str">
        <x:v>FlutterFlow</x:v>
      </x:c>
      <x:c r="B11" s="11" t="str">
        <x:v>Not created</x:v>
      </x:c>
      <x:c r="C11" s="11"/>
      <x:c r="D11" s="11"/>
    </x:row>
    <x:row r="12">
      <x:c r="A12" s="11" t="str">
        <x:v>Google Maps API</x:v>
      </x:c>
      <x:c r="B12" s="11" t="str">
        <x:v>Not created</x:v>
      </x:c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7" hidden="0" customWidth="1"/>
    <x:col min="4" max="4" width="13" hidden="0" customWidth="1"/>
    <x:col min="5" max="5" width="14" hidden="0" customWidth="1"/>
    <x:col min="6" max="6" width="10" hidden="0" customWidth="1"/>
    <x:col min="7" max="7" width="22" hidden="0" customWidth="1"/>
    <x:col min="8" max="8" width="14" hidden="0" customWidth="1"/>
    <x:col min="9" max="9" width="14" hidden="0" customWidth="1"/>
    <x:col min="10" max="10" width="18" hidden="0" customWidth="1"/>
    <x:col min="11" max="11" width="16" hidden="0" customWidth="1"/>
  </x:cols>
  <x:sheetData>
    <x:row r="1">
      <x:c r="A1" s="23" t="str">
        <x:v>place_code</x:v>
      </x:c>
      <x:c r="B1" s="23" t="str">
        <x:v>name_kr</x:v>
      </x:c>
      <x:c r="C1" s="23" t="str">
        <x:v>category</x:v>
      </x:c>
      <x:c r="D1" s="23" t="str">
        <x:v>district</x:v>
      </x:c>
      <x:c r="E1" s="23" t="str">
        <x:v>verification</x:v>
      </x:c>
      <x:c r="F1" s="23" t="str">
        <x:v>priority</x:v>
      </x:c>
      <x:c r="G1" s="23" t="str">
        <x:v>geocode_status</x:v>
      </x:c>
      <x:c r="H1" s="23" t="str">
        <x:v>Coordinates</x:v>
      </x:c>
      <x:c r="I1" s="23" t="str">
        <x:v>Image rights</x:v>
      </x:c>
      <x:c r="J1" s="23" t="str">
        <x:v>Current program QA</x:v>
      </x:c>
      <x:c r="K1" s="23" t="str">
        <x:v>Launch ready</x:v>
      </x:c>
    </x:row>
    <x:row r="2">
      <x:c r="A2" s="11" t="str">
        <x:v>SEOUL001</x:v>
      </x:c>
      <x:c r="B2" s="11" t="str">
        <x:v>아뜰리에 노들</x:v>
      </x:c>
      <x:c r="C2" s="11" t="str">
        <x:v>Media Facade</x:v>
      </x:c>
      <x:c r="D2" s="11" t="str">
        <x:v>용산구</x:v>
      </x:c>
      <x:c r="E2" s="11" t="str">
        <x:v>high</x:v>
      </x:c>
      <x:c r="F2" s="11" t="str">
        <x:v>A</x:v>
      </x:c>
      <x:c r="G2" s="11" t="str">
        <x:v>needs_geocoding</x:v>
      </x:c>
      <x:c r="H2" s="11" t="str">
        <x:v>Missing</x:v>
      </x:c>
      <x:c r="I2" s="11" t="str">
        <x:v>Pending</x:v>
      </x:c>
      <x:c r="J2" s="11" t="str">
        <x:v>OK</x:v>
      </x:c>
      <x:c r="K2" s="11" t="str">
        <x:f>IF(AND(H2="Ready",I2="Ready",J2="OK"),"READY","NOT READY")</x:f>
        <x:v>NOT READY</x:v>
      </x:c>
    </x:row>
    <x:row r="3">
      <x:c r="A3" s="11" t="str">
        <x:v>SEOUL002</x:v>
      </x:c>
      <x:c r="B3" s="11" t="str">
        <x:v>아뜰리에 광화</x:v>
      </x:c>
      <x:c r="C3" s="11" t="str">
        <x:v>Media Facade</x:v>
      </x:c>
      <x:c r="D3" s="11" t="str">
        <x:v>종로구</x:v>
      </x:c>
      <x:c r="E3" s="11" t="str">
        <x:v>high</x:v>
      </x:c>
      <x:c r="F3" s="11" t="str">
        <x:v>A</x:v>
      </x:c>
      <x:c r="G3" s="11" t="str">
        <x:v>needs_geocoding</x:v>
      </x:c>
      <x:c r="H3" s="11" t="str">
        <x:v>Missing</x:v>
      </x:c>
      <x:c r="I3" s="11" t="str">
        <x:v>Pending</x:v>
      </x:c>
      <x:c r="J3" s="11" t="str">
        <x:v>OK</x:v>
      </x:c>
      <x:c r="K3" s="11" t="str">
        <x:f>IF(AND(H3="Ready",I3="Ready",J3="OK"),"READY","NOT READY")</x:f>
        <x:v>NOT READY</x:v>
      </x:c>
    </x:row>
    <x:row r="4">
      <x:c r="A4" s="11" t="str">
        <x:v>SEOUL003</x:v>
      </x:c>
      <x:c r="B4" s="11" t="str">
        <x:v>해치마당 미디어월</x:v>
      </x:c>
      <x:c r="C4" s="11" t="str">
        <x:v>Media Art</x:v>
      </x:c>
      <x:c r="D4" s="11" t="str">
        <x:v>종로구</x:v>
      </x:c>
      <x:c r="E4" s="11" t="str">
        <x:v>high</x:v>
      </x:c>
      <x:c r="F4" s="11" t="str">
        <x:v>A</x:v>
      </x:c>
      <x:c r="G4" s="11" t="str">
        <x:v>needs_geocoding</x:v>
      </x:c>
      <x:c r="H4" s="11" t="str">
        <x:v>Missing</x:v>
      </x:c>
      <x:c r="I4" s="11" t="str">
        <x:v>Pending</x:v>
      </x:c>
      <x:c r="J4" s="11" t="str">
        <x:v>OK</x:v>
      </x:c>
      <x:c r="K4" s="11" t="str">
        <x:f>IF(AND(H4="Ready",I4="Ready",J4="OK"),"READY","NOT READY")</x:f>
        <x:v>NOT READY</x:v>
      </x:c>
    </x:row>
    <x:row r="5">
      <x:c r="A5" s="11" t="str">
        <x:v>SEOUL004</x:v>
      </x:c>
      <x:c r="B5" s="11" t="str">
        <x:v>오간수교 미디어파사드</x:v>
      </x:c>
      <x:c r="C5" s="11" t="str">
        <x:v>Media Facade</x:v>
      </x:c>
      <x:c r="D5" s="11" t="str">
        <x:v>종로구/중구</x:v>
      </x:c>
      <x:c r="E5" s="11" t="str">
        <x:v>high</x:v>
      </x:c>
      <x:c r="F5" s="11" t="str">
        <x:v>A</x:v>
      </x:c>
      <x:c r="G5" s="11" t="str">
        <x:v>needs_geocoding</x:v>
      </x:c>
      <x:c r="H5" s="11" t="str">
        <x:v>Missing</x:v>
      </x:c>
      <x:c r="I5" s="11" t="str">
        <x:v>Pending</x:v>
      </x:c>
      <x:c r="J5" s="11" t="str">
        <x:v>OK</x:v>
      </x:c>
      <x:c r="K5" s="11" t="str">
        <x:f>IF(AND(H5="Ready",I5="Ready",J5="OK"),"READY","NOT READY")</x:f>
        <x:v>NOT READY</x:v>
      </x:c>
    </x:row>
    <x:row r="6">
      <x:c r="A6" s="11" t="str">
        <x:v>SEOUL005</x:v>
      </x:c>
      <x:c r="B6" s="11" t="str">
        <x:v>서울로미디어캔버스</x:v>
      </x:c>
      <x:c r="C6" s="11" t="str">
        <x:v>Media Art</x:v>
      </x:c>
      <x:c r="D6" s="11" t="str">
        <x:v>중구</x:v>
      </x:c>
      <x:c r="E6" s="11" t="str">
        <x:v>high</x:v>
      </x:c>
      <x:c r="F6" s="11" t="str">
        <x:v>A</x:v>
      </x:c>
      <x:c r="G6" s="11" t="str">
        <x:v>needs_geocoding</x:v>
      </x:c>
      <x:c r="H6" s="11" t="str">
        <x:v>Missing</x:v>
      </x:c>
      <x:c r="I6" s="11" t="str">
        <x:v>Pending</x:v>
      </x:c>
      <x:c r="J6" s="11" t="str">
        <x:v>OK</x:v>
      </x:c>
      <x:c r="K6" s="11" t="str">
        <x:f>IF(AND(H6="Ready",I6="Ready",J6="OK"),"READY","NOT READY")</x:f>
        <x:v>NOT READY</x:v>
      </x:c>
    </x:row>
    <x:row r="7">
      <x:c r="A7" s="11" t="str">
        <x:v>SEOUL006</x:v>
      </x:c>
      <x:c r="B7" s="11" t="str">
        <x:v>동대문디자인플라자(DDP) / 서울라이트</x:v>
      </x:c>
      <x:c r="C7" s="11" t="str">
        <x:v>Media Facade</x:v>
      </x:c>
      <x:c r="D7" s="11" t="str">
        <x:v>중구</x:v>
      </x:c>
      <x:c r="E7" s="11" t="str">
        <x:v>high</x:v>
      </x:c>
      <x:c r="F7" s="11" t="str">
        <x:v>A</x:v>
      </x:c>
      <x:c r="G7" s="11" t="str">
        <x:v>needs_geocoding</x:v>
      </x:c>
      <x:c r="H7" s="11" t="str">
        <x:v>Missing</x:v>
      </x:c>
      <x:c r="I7" s="11" t="str">
        <x:v>Pending</x:v>
      </x:c>
      <x:c r="J7" s="11" t="str">
        <x:v>OK</x:v>
      </x:c>
      <x:c r="K7" s="11" t="str">
        <x:f>IF(AND(H7="Ready",I7="Ready",J7="OK"),"READY","NOT READY")</x:f>
        <x:v>NOT READY</x:v>
      </x:c>
    </x:row>
    <x:row r="8">
      <x:c r="A8" s="11" t="str">
        <x:v>SEOUL007</x:v>
      </x:c>
      <x:c r="B8" s="11" t="str">
        <x:v>코엑스 K-POP 스퀘어 WAVE</x:v>
      </x:c>
      <x:c r="C8" s="11" t="str">
        <x:v>Media Facade</x:v>
      </x:c>
      <x:c r="D8" s="11" t="str">
        <x:v>강남구</x:v>
      </x:c>
      <x:c r="E8" s="11" t="str">
        <x:v>high</x:v>
      </x:c>
      <x:c r="F8" s="11" t="str">
        <x:v>A</x:v>
      </x:c>
      <x:c r="G8" s="11" t="str">
        <x:v>needs_geocoding</x:v>
      </x:c>
      <x:c r="H8" s="11" t="str">
        <x:v>Missing</x:v>
      </x:c>
      <x:c r="I8" s="11" t="str">
        <x:v>Pending</x:v>
      </x:c>
      <x:c r="J8" s="11" t="str">
        <x:v>OK</x:v>
      </x:c>
      <x:c r="K8" s="11" t="str">
        <x:f>IF(AND(H8="Ready",I8="Ready",J8="OK"),"READY","NOT READY")</x:f>
        <x:v>NOT READY</x:v>
      </x:c>
    </x:row>
    <x:row r="9">
      <x:c r="A9" s="11" t="str">
        <x:v>SEOUL008</x:v>
      </x:c>
      <x:c r="B9" s="11" t="str">
        <x:v>신세계스퀘어</x:v>
      </x:c>
      <x:c r="C9" s="11" t="str">
        <x:v>Media Facade</x:v>
      </x:c>
      <x:c r="D9" s="11" t="str">
        <x:v>중구</x:v>
      </x:c>
      <x:c r="E9" s="11" t="str">
        <x:v>high</x:v>
      </x:c>
      <x:c r="F9" s="11" t="str">
        <x:v>A</x:v>
      </x:c>
      <x:c r="G9" s="11" t="str">
        <x:v>needs_geocoding</x:v>
      </x:c>
      <x:c r="H9" s="11" t="str">
        <x:v>Missing</x:v>
      </x:c>
      <x:c r="I9" s="11" t="str">
        <x:v>Pending</x:v>
      </x:c>
      <x:c r="J9" s="11" t="str">
        <x:v>OK</x:v>
      </x:c>
      <x:c r="K9" s="11" t="str">
        <x:f>IF(AND(H9="Ready",I9="Ready",J9="OK"),"READY","NOT READY")</x:f>
        <x:v>NOT READY</x:v>
      </x:c>
    </x:row>
    <x:row r="10">
      <x:c r="A10" s="11" t="str">
        <x:v>SEOUL009</x:v>
      </x:c>
      <x:c r="B10" s="11" t="str">
        <x:v>갤러리아 명품관 WEST 미디어파사드</x:v>
      </x:c>
      <x:c r="C10" s="11" t="str">
        <x:v>Media Facade</x:v>
      </x:c>
      <x:c r="D10" s="11" t="str">
        <x:v>강남구</x:v>
      </x:c>
      <x:c r="E10" s="11" t="str">
        <x:v>high</x:v>
      </x:c>
      <x:c r="F10" s="11" t="str">
        <x:v>A</x:v>
      </x:c>
      <x:c r="G10" s="11" t="str">
        <x:v>needs_geocoding</x:v>
      </x:c>
      <x:c r="H10" s="11" t="str">
        <x:v>Missing</x:v>
      </x:c>
      <x:c r="I10" s="11" t="str">
        <x:v>Pending</x:v>
      </x:c>
      <x:c r="J10" s="11" t="str">
        <x:v>OK</x:v>
      </x:c>
      <x:c r="K10" s="11" t="str">
        <x:f>IF(AND(H10="Ready",I10="Ready",J10="OK"),"READY","NOT READY")</x:f>
        <x:v>NOT READY</x:v>
      </x:c>
    </x:row>
    <x:row r="11">
      <x:c r="A11" s="11" t="str">
        <x:v>SEOUL010</x:v>
      </x:c>
      <x:c r="B11" s="11" t="str">
        <x:v>서울스퀘어 미디어 캔버스</x:v>
      </x:c>
      <x:c r="C11" s="11" t="str">
        <x:v>Media Facade</x:v>
      </x:c>
      <x:c r="D11" s="11" t="str">
        <x:v>중구</x:v>
      </x:c>
      <x:c r="E11" s="11" t="str">
        <x:v>medium</x:v>
      </x:c>
      <x:c r="F11" s="11" t="str">
        <x:v>A</x:v>
      </x:c>
      <x:c r="G11" s="11" t="str">
        <x:v>needs_geocoding</x:v>
      </x:c>
      <x:c r="H11" s="11" t="str">
        <x:v>Missing</x:v>
      </x:c>
      <x:c r="I11" s="11" t="str">
        <x:v>Pending</x:v>
      </x:c>
      <x:c r="J11" s="11" t="str">
        <x:v>Review</x:v>
      </x:c>
      <x:c r="K11" s="11" t="str">
        <x:f>IF(AND(H11="Ready",I11="Ready",J11="OK"),"READY","NOT READY")</x:f>
        <x:v>NOT READY</x:v>
      </x:c>
    </x:row>
    <x:row r="12">
      <x:c r="A12" s="11" t="str">
        <x:v>SEOUL011</x:v>
      </x:c>
      <x:c r="B12" s="11" t="str">
        <x:v>KT스퀘어 옥외전광판</x:v>
      </x:c>
      <x:c r="C12" s="11" t="str">
        <x:v>Media Facade</x:v>
      </x:c>
      <x:c r="D12" s="11" t="str">
        <x:v>종로구</x:v>
      </x:c>
      <x:c r="E12" s="11" t="str">
        <x:v>high</x:v>
      </x:c>
      <x:c r="F12" s="11" t="str">
        <x:v>B</x:v>
      </x:c>
      <x:c r="G12" s="11" t="str">
        <x:v>needs_geocoding</x:v>
      </x:c>
      <x:c r="H12" s="11" t="str">
        <x:v>Missing</x:v>
      </x:c>
      <x:c r="I12" s="11" t="str">
        <x:v>Pending</x:v>
      </x:c>
      <x:c r="J12" s="11" t="str">
        <x:v>OK</x:v>
      </x:c>
      <x:c r="K12" s="11" t="str">
        <x:f>IF(AND(H12="Ready",I12="Ready",J12="OK"),"READY","NOT READY")</x:f>
        <x:v>NOT READY</x:v>
      </x:c>
    </x:row>
    <x:row r="13">
      <x:c r="A13" s="11" t="str">
        <x:v>SEOUL012</x:v>
      </x:c>
      <x:c r="B13" s="11" t="str">
        <x:v>K-비전(코리아나호텔)</x:v>
      </x:c>
      <x:c r="C13" s="11" t="str">
        <x:v>Media Facade</x:v>
      </x:c>
      <x:c r="D13" s="11" t="str">
        <x:v>중구</x:v>
      </x:c>
      <x:c r="E13" s="11" t="str">
        <x:v>high</x:v>
      </x:c>
      <x:c r="F13" s="11" t="str">
        <x:v>B</x:v>
      </x:c>
      <x:c r="G13" s="11" t="str">
        <x:v>needs_geocoding</x:v>
      </x:c>
      <x:c r="H13" s="11" t="str">
        <x:v>Missing</x:v>
      </x:c>
      <x:c r="I13" s="11" t="str">
        <x:v>Pending</x:v>
      </x:c>
      <x:c r="J13" s="11" t="str">
        <x:v>OK</x:v>
      </x:c>
      <x:c r="K13" s="11" t="str">
        <x:f>IF(AND(H13="Ready",I13="Ready",J13="OK"),"READY","NOT READY")</x:f>
        <x:v>NOT READY</x:v>
      </x:c>
    </x:row>
    <x:row r="14">
      <x:c r="A14" s="11" t="str">
        <x:v>SEOUL013</x:v>
      </x:c>
      <x:c r="B14" s="11" t="str">
        <x:v>루미 미디어(세광빌딩)</x:v>
      </x:c>
      <x:c r="C14" s="11" t="str">
        <x:v>Media Facade</x:v>
      </x:c>
      <x:c r="D14" s="11" t="str">
        <x:v>종로구/중구</x:v>
      </x:c>
      <x:c r="E14" s="11" t="str">
        <x:v>high</x:v>
      </x:c>
      <x:c r="F14" s="11" t="str">
        <x:v>B</x:v>
      </x:c>
      <x:c r="G14" s="11" t="str">
        <x:v>needs_geocoding</x:v>
      </x:c>
      <x:c r="H14" s="11" t="str">
        <x:v>Missing</x:v>
      </x:c>
      <x:c r="I14" s="11" t="str">
        <x:v>Pending</x:v>
      </x:c>
      <x:c r="J14" s="11" t="str">
        <x:v>OK</x:v>
      </x:c>
      <x:c r="K14" s="11" t="str">
        <x:f>IF(AND(H14="Ready",I14="Ready",J14="OK"),"READY","NOT READY")</x:f>
        <x:v>NOT READY</x:v>
      </x:c>
    </x:row>
    <x:row r="15">
      <x:c r="A15" s="11" t="str">
        <x:v>SEOUL014</x:v>
      </x:c>
      <x:c r="B15" s="11" t="str">
        <x:v>LUUX(동아일보)</x:v>
      </x:c>
      <x:c r="C15" s="11" t="str">
        <x:v>Media Facade</x:v>
      </x:c>
      <x:c r="D15" s="11" t="str">
        <x:v>종로구</x:v>
      </x:c>
      <x:c r="E15" s="11" t="str">
        <x:v>high</x:v>
      </x:c>
      <x:c r="F15" s="11" t="str">
        <x:v>B</x:v>
      </x:c>
      <x:c r="G15" s="11" t="str">
        <x:v>needs_geocoding</x:v>
      </x:c>
      <x:c r="H15" s="11" t="str">
        <x:v>Missing</x:v>
      </x:c>
      <x:c r="I15" s="11" t="str">
        <x:v>Pending</x:v>
      </x:c>
      <x:c r="J15" s="11" t="str">
        <x:v>OK</x:v>
      </x:c>
      <x:c r="K15" s="11" t="str">
        <x:f>IF(AND(H15="Ready",I15="Ready",J15="OK"),"READY","NOT READY")</x:f>
        <x:v>NOT READY</x:v>
      </x:c>
    </x:row>
    <x:row r="16">
      <x:c r="A16" s="11" t="str">
        <x:v>SEOUL015</x:v>
      </x:c>
      <x:c r="B16" s="11" t="str">
        <x:v>일민미술관 옥외전광판</x:v>
      </x:c>
      <x:c r="C16" s="11" t="str">
        <x:v>Media Facade</x:v>
      </x:c>
      <x:c r="D16" s="11" t="str">
        <x:v>종로구</x:v>
      </x:c>
      <x:c r="E16" s="11" t="str">
        <x:v>high</x:v>
      </x:c>
      <x:c r="F16" s="11" t="str">
        <x:v>B</x:v>
      </x:c>
      <x:c r="G16" s="11" t="str">
        <x:v>needs_geocoding</x:v>
      </x:c>
      <x:c r="H16" s="11" t="str">
        <x:v>Missing</x:v>
      </x:c>
      <x:c r="I16" s="11" t="str">
        <x:v>Pending</x:v>
      </x:c>
      <x:c r="J16" s="11" t="str">
        <x:v>OK</x:v>
      </x:c>
      <x:c r="K16" s="11" t="str">
        <x:f>IF(AND(H16="Ready",I16="Ready",J16="OK"),"READY","NOT READY")</x:f>
        <x:v>NOT READY</x:v>
      </x:c>
    </x:row>
    <x:row r="17">
      <x:c r="A17" s="11" t="str">
        <x:v>SEOUL016</x:v>
      </x:c>
      <x:c r="B17" s="11" t="str">
        <x:v>서울로봇인공지능과학관 미디어파사드</x:v>
      </x:c>
      <x:c r="C17" s="11" t="str">
        <x:v>Media Facade</x:v>
      </x:c>
      <x:c r="D17" s="11" t="str">
        <x:v>도봉구</x:v>
      </x:c>
      <x:c r="E17" s="11" t="str">
        <x:v>high</x:v>
      </x:c>
      <x:c r="F17" s="11" t="str">
        <x:v>A</x:v>
      </x:c>
      <x:c r="G17" s="11" t="str">
        <x:v>needs_geocoding</x:v>
      </x:c>
      <x:c r="H17" s="11" t="str">
        <x:v>Missing</x:v>
      </x:c>
      <x:c r="I17" s="11" t="str">
        <x:v>Pending</x:v>
      </x:c>
      <x:c r="J17" s="11" t="str">
        <x:v>OK</x:v>
      </x:c>
      <x:c r="K17" s="11" t="str">
        <x:f>IF(AND(H17="Ready",I17="Ready",J17="OK"),"READY","NOT READY")</x:f>
        <x:v>NOT READY</x:v>
      </x:c>
    </x:row>
    <x:row r="18">
      <x:c r="A18" s="11" t="str">
        <x:v>SEOUL017</x:v>
      </x:c>
      <x:c r="B18" s="11" t="str">
        <x:v>마곡 르웨스트 미디어파사드</x:v>
      </x:c>
      <x:c r="C18" s="11" t="str">
        <x:v>Media Facade</x:v>
      </x:c>
      <x:c r="D18" s="11" t="str">
        <x:v>강서구</x:v>
      </x:c>
      <x:c r="E18" s="11" t="str">
        <x:v>medium</x:v>
      </x:c>
      <x:c r="F18" s="11" t="str">
        <x:v>B</x:v>
      </x:c>
      <x:c r="G18" s="11" t="str">
        <x:v>needs_manual_review</x:v>
      </x:c>
      <x:c r="H18" s="11" t="str">
        <x:v>Missing</x:v>
      </x:c>
      <x:c r="I18" s="11" t="str">
        <x:v>Pending</x:v>
      </x:c>
      <x:c r="J18" s="11" t="str">
        <x:v>Review</x:v>
      </x:c>
      <x:c r="K18" s="11" t="str">
        <x:f>IF(AND(H18="Ready",I18="Ready",J18="OK"),"READY","NOT READY")</x:f>
        <x:v>NOT READY</x:v>
      </x:c>
    </x:row>
    <x:row r="19">
      <x:c r="A19" s="11" t="str">
        <x:v>SEOUL018</x:v>
      </x:c>
      <x:c r="B19" s="11" t="str">
        <x:v>롯데월드타워 미디어파사드</x:v>
      </x:c>
      <x:c r="C19" s="11" t="str">
        <x:v>Media Facade</x:v>
      </x:c>
      <x:c r="D19" s="11" t="str">
        <x:v>송파구</x:v>
      </x:c>
      <x:c r="E19" s="11" t="str">
        <x:v>medium</x:v>
      </x:c>
      <x:c r="F19" s="11" t="str">
        <x:v>A</x:v>
      </x:c>
      <x:c r="G19" s="11" t="str">
        <x:v>needs_geocoding</x:v>
      </x:c>
      <x:c r="H19" s="11" t="str">
        <x:v>Missing</x:v>
      </x:c>
      <x:c r="I19" s="11" t="str">
        <x:v>Pending</x:v>
      </x:c>
      <x:c r="J19" s="11" t="str">
        <x:v>Review</x:v>
      </x:c>
      <x:c r="K19" s="11" t="str">
        <x:f>IF(AND(H19="Ready",I19="Ready",J19="OK"),"READY","NOT READY")</x:f>
        <x:v>NOT READY</x:v>
      </x:c>
    </x:row>
    <x:row r="20">
      <x:c r="A20" s="11" t="str">
        <x:v>SEOUL019</x:v>
      </x:c>
      <x:c r="B20" s="11" t="str">
        <x:v>롯데타운 라이트(영플라자)</x:v>
      </x:c>
      <x:c r="C20" s="11" t="str">
        <x:v>Media Facade</x:v>
      </x:c>
      <x:c r="D20" s="11" t="str">
        <x:v>중구</x:v>
      </x:c>
      <x:c r="E20" s="11" t="str">
        <x:v>high</x:v>
      </x:c>
      <x:c r="F20" s="11" t="str">
        <x:v>A</x:v>
      </x:c>
      <x:c r="G20" s="11" t="str">
        <x:v>needs_geocoding</x:v>
      </x:c>
      <x:c r="H20" s="11" t="str">
        <x:v>Missing</x:v>
      </x:c>
      <x:c r="I20" s="11" t="str">
        <x:v>Pending</x:v>
      </x:c>
      <x:c r="J20" s="11" t="str">
        <x:v>OK</x:v>
      </x:c>
      <x:c r="K20" s="11" t="str">
        <x:f>IF(AND(H20="Ready",I20="Ready",J20="OK"),"READY","NOT READY")</x:f>
        <x:v>NOT READY</x:v>
      </x:c>
    </x:row>
    <x:row r="21">
      <x:c r="A21" s="11" t="str">
        <x:v>SEOUL020</x:v>
      </x:c>
      <x:c r="B21" s="11" t="str">
        <x:v>하이커 그라운드</x:v>
      </x:c>
      <x:c r="C21" s="11" t="str">
        <x:v>Media Art</x:v>
      </x:c>
      <x:c r="D21" s="11" t="str">
        <x:v>중구</x:v>
      </x:c>
      <x:c r="E21" s="11" t="str">
        <x:v>high</x:v>
      </x:c>
      <x:c r="F21" s="11" t="str">
        <x:v>A</x:v>
      </x:c>
      <x:c r="G21" s="11" t="str">
        <x:v>needs_geocoding</x:v>
      </x:c>
      <x:c r="H21" s="11" t="str">
        <x:v>Missing</x:v>
      </x:c>
      <x:c r="I21" s="11" t="str">
        <x:v>Pending</x:v>
      </x:c>
      <x:c r="J21" s="11" t="str">
        <x:v>OK</x:v>
      </x:c>
      <x:c r="K21" s="11" t="str">
        <x:f>IF(AND(H21="Ready",I21="Ready",J21="OK"),"READY","NOT READY")</x:f>
        <x:v>NOT READY</x:v>
      </x:c>
    </x:row>
    <x:row r="22">
      <x:c r="A22" s="11" t="str">
        <x:v>SEOUL021</x:v>
      </x:c>
      <x:c r="B22" s="11" t="str">
        <x:v>청계 소울 오션</x:v>
      </x:c>
      <x:c r="C22" s="11" t="str">
        <x:v>Immersive</x:v>
      </x:c>
      <x:c r="D22" s="11" t="str">
        <x:v>중구</x:v>
      </x:c>
      <x:c r="E22" s="11" t="str">
        <x:v>high</x:v>
      </x:c>
      <x:c r="F22" s="11" t="str">
        <x:v>A</x:v>
      </x:c>
      <x:c r="G22" s="11" t="str">
        <x:v>needs_geocoding</x:v>
      </x:c>
      <x:c r="H22" s="11" t="str">
        <x:v>Missing</x:v>
      </x:c>
      <x:c r="I22" s="11" t="str">
        <x:v>Pending</x:v>
      </x:c>
      <x:c r="J22" s="11" t="str">
        <x:v>OK</x:v>
      </x:c>
      <x:c r="K22" s="11" t="str">
        <x:f>IF(AND(H22="Ready",I22="Ready",J22="OK"),"READY","NOT READY")</x:f>
        <x:v>NOT READY</x:v>
      </x:c>
    </x:row>
    <x:row r="23">
      <x:c r="A23" s="11" t="str">
        <x:v>SEOUL022</x:v>
      </x:c>
      <x:c r="B23" s="11" t="str">
        <x:v>국립중앙박물관 디지털 실감 영상관</x:v>
      </x:c>
      <x:c r="C23" s="11" t="str">
        <x:v>Immersive</x:v>
      </x:c>
      <x:c r="D23" s="11" t="str">
        <x:v>용산구</x:v>
      </x:c>
      <x:c r="E23" s="11" t="str">
        <x:v>high</x:v>
      </x:c>
      <x:c r="F23" s="11" t="str">
        <x:v>A</x:v>
      </x:c>
      <x:c r="G23" s="11" t="str">
        <x:v>needs_geocoding</x:v>
      </x:c>
      <x:c r="H23" s="11" t="str">
        <x:v>Missing</x:v>
      </x:c>
      <x:c r="I23" s="11" t="str">
        <x:v>Pending</x:v>
      </x:c>
      <x:c r="J23" s="11" t="str">
        <x:v>OK</x:v>
      </x:c>
      <x:c r="K23" s="11" t="str">
        <x:f>IF(AND(H23="Ready",I23="Ready",J23="OK"),"READY","NOT READY")</x:f>
        <x:v>NOT READY</x:v>
      </x:c>
    </x:row>
    <x:row r="24">
      <x:c r="A24" s="11" t="str">
        <x:v>SEOUL023</x:v>
      </x:c>
      <x:c r="B24" s="11" t="str">
        <x:v>라이트룸 서울</x:v>
      </x:c>
      <x:c r="C24" s="11" t="str">
        <x:v>Immersive</x:v>
      </x:c>
      <x:c r="D24" s="11" t="str">
        <x:v>강동구</x:v>
      </x:c>
      <x:c r="E24" s="11" t="str">
        <x:v>high</x:v>
      </x:c>
      <x:c r="F24" s="11" t="str">
        <x:v>A</x:v>
      </x:c>
      <x:c r="G24" s="11" t="str">
        <x:v>needs_geocoding</x:v>
      </x:c>
      <x:c r="H24" s="11" t="str">
        <x:v>Missing</x:v>
      </x:c>
      <x:c r="I24" s="11" t="str">
        <x:v>Pending</x:v>
      </x:c>
      <x:c r="J24" s="11" t="str">
        <x:v>OK</x:v>
      </x:c>
      <x:c r="K24" s="11" t="str">
        <x:f>IF(AND(H24="Ready",I24="Ready",J24="OK"),"READY","NOT READY")</x:f>
        <x:v>NOT READY</x:v>
      </x:c>
    </x:row>
    <x:row r="25">
      <x:c r="A25" s="11" t="str">
        <x:v>SEOUL024</x:v>
      </x:c>
      <x:c r="B25" s="11" t="str">
        <x:v>서울시립 서서울미술관</x:v>
      </x:c>
      <x:c r="C25" s="11" t="str">
        <x:v>Media Art</x:v>
      </x:c>
      <x:c r="D25" s="11" t="str">
        <x:v>금천구</x:v>
      </x:c>
      <x:c r="E25" s="11" t="str">
        <x:v>high</x:v>
      </x:c>
      <x:c r="F25" s="11" t="str">
        <x:v>A</x:v>
      </x:c>
      <x:c r="G25" s="11" t="str">
        <x:v>needs_geocoding</x:v>
      </x:c>
      <x:c r="H25" s="11" t="str">
        <x:v>Missing</x:v>
      </x:c>
      <x:c r="I25" s="11" t="str">
        <x:v>Pending</x:v>
      </x:c>
      <x:c r="J25" s="11" t="str">
        <x:v>OK</x:v>
      </x:c>
      <x:c r="K25" s="11" t="str">
        <x:f>IF(AND(H25="Ready",I25="Ready",J25="OK"),"READY","NOT READY")</x:f>
        <x:v>NOT READY</x:v>
      </x:c>
    </x:row>
    <x:row r="26">
      <x:c r="A26" s="11" t="str">
        <x:v>SEOUL025</x:v>
      </x:c>
      <x:c r="B26" s="11" t="str">
        <x:v>국립현대미술관 서울</x:v>
      </x:c>
      <x:c r="C26" s="11" t="str">
        <x:v>Media Art</x:v>
      </x:c>
      <x:c r="D26" s="11" t="str">
        <x:v>종로구</x:v>
      </x:c>
      <x:c r="E26" s="11" t="str">
        <x:v>high</x:v>
      </x:c>
      <x:c r="F26" s="11" t="str">
        <x:v>A</x:v>
      </x:c>
      <x:c r="G26" s="11" t="str">
        <x:v>needs_geocoding</x:v>
      </x:c>
      <x:c r="H26" s="11" t="str">
        <x:v>Missing</x:v>
      </x:c>
      <x:c r="I26" s="11" t="str">
        <x:v>Pending</x:v>
      </x:c>
      <x:c r="J26" s="11" t="str">
        <x:v>OK</x:v>
      </x:c>
      <x:c r="K26" s="11" t="str">
        <x:f>IF(AND(H26="Ready",I26="Ready",J26="OK"),"READY","NOT READY")</x:f>
        <x:v>NOT READY</x:v>
      </x:c>
    </x:row>
    <x:row r="27">
      <x:c r="A27" s="11" t="str">
        <x:v>SEOUL026</x:v>
      </x:c>
      <x:c r="B27" s="11" t="str">
        <x:v>아트센터 나비</x:v>
      </x:c>
      <x:c r="C27" s="11" t="str">
        <x:v>Media Art</x:v>
      </x:c>
      <x:c r="D27" s="11" t="str">
        <x:v>종로구</x:v>
      </x:c>
      <x:c r="E27" s="11" t="str">
        <x:v>medium</x:v>
      </x:c>
      <x:c r="F27" s="11" t="str">
        <x:v>A</x:v>
      </x:c>
      <x:c r="G27" s="11" t="str">
        <x:v>needs_manual_review</x:v>
      </x:c>
      <x:c r="H27" s="11" t="str">
        <x:v>Missing</x:v>
      </x:c>
      <x:c r="I27" s="11" t="str">
        <x:v>Pending</x:v>
      </x:c>
      <x:c r="J27" s="11" t="str">
        <x:v>Review</x:v>
      </x:c>
      <x:c r="K27" s="11" t="str">
        <x:f>IF(AND(H27="Ready",I27="Ready",J27="OK"),"READY","NOT READY")</x:f>
        <x:v>NOT READY</x:v>
      </x:c>
    </x:row>
    <x:row r="28">
      <x:c r="A28" s="11" t="str">
        <x:v>SEOUL027</x:v>
      </x:c>
      <x:c r="B28" s="11" t="str">
        <x:v>리움미술관</x:v>
      </x:c>
      <x:c r="C28" s="11" t="str">
        <x:v>Media Art</x:v>
      </x:c>
      <x:c r="D28" s="11" t="str">
        <x:v>용산구</x:v>
      </x:c>
      <x:c r="E28" s="11" t="str">
        <x:v>high</x:v>
      </x:c>
      <x:c r="F28" s="11" t="str">
        <x:v>B</x:v>
      </x:c>
      <x:c r="G28" s="11" t="str">
        <x:v>needs_geocoding</x:v>
      </x:c>
      <x:c r="H28" s="11" t="str">
        <x:v>Missing</x:v>
      </x:c>
      <x:c r="I28" s="11" t="str">
        <x:v>Pending</x:v>
      </x:c>
      <x:c r="J28" s="11" t="str">
        <x:v>OK</x:v>
      </x:c>
      <x:c r="K28" s="11" t="str">
        <x:f>IF(AND(H28="Ready",I28="Ready",J28="OK"),"READY","NOT READY")</x:f>
        <x:v>NOT READY</x:v>
      </x:c>
    </x:row>
    <x:row r="29">
      <x:c r="A29" s="11" t="str">
        <x:v>SEOUL028</x:v>
      </x:c>
      <x:c r="B29" s="11" t="str">
        <x:v>디뮤지엄</x:v>
      </x:c>
      <x:c r="C29" s="11" t="str">
        <x:v>Media Art</x:v>
      </x:c>
      <x:c r="D29" s="11" t="str">
        <x:v>성동구</x:v>
      </x:c>
      <x:c r="E29" s="11" t="str">
        <x:v>medium</x:v>
      </x:c>
      <x:c r="F29" s="11" t="str">
        <x:v>B</x:v>
      </x:c>
      <x:c r="G29" s="11" t="str">
        <x:v>needs_geocoding</x:v>
      </x:c>
      <x:c r="H29" s="11" t="str">
        <x:v>Missing</x:v>
      </x:c>
      <x:c r="I29" s="11" t="str">
        <x:v>Pending</x:v>
      </x:c>
      <x:c r="J29" s="11" t="str">
        <x:v>Review</x:v>
      </x:c>
      <x:c r="K29" s="11" t="str">
        <x:f>IF(AND(H29="Ready",I29="Ready",J29="OK"),"READY","NOT READY")</x:f>
        <x:v>NOT READY</x:v>
      </x:c>
    </x:row>
    <x:row r="30">
      <x:c r="A30" s="11" t="str">
        <x:v>SEOUL029</x:v>
      </x:c>
      <x:c r="B30" s="11" t="str">
        <x:v>플랫폼엘 컨템포러리 아트센터</x:v>
      </x:c>
      <x:c r="C30" s="11" t="str">
        <x:v>Media Art</x:v>
      </x:c>
      <x:c r="D30" s="11" t="str">
        <x:v>강남구</x:v>
      </x:c>
      <x:c r="E30" s="11" t="str">
        <x:v>high</x:v>
      </x:c>
      <x:c r="F30" s="11" t="str">
        <x:v>B</x:v>
      </x:c>
      <x:c r="G30" s="11" t="str">
        <x:v>needs_geocoding</x:v>
      </x:c>
      <x:c r="H30" s="11" t="str">
        <x:v>Missing</x:v>
      </x:c>
      <x:c r="I30" s="11" t="str">
        <x:v>Pending</x:v>
      </x:c>
      <x:c r="J30" s="11" t="str">
        <x:v>OK</x:v>
      </x:c>
      <x:c r="K30" s="11" t="str">
        <x:f>IF(AND(H30="Ready",I30="Ready",J30="OK"),"READY","NOT READY")</x:f>
        <x:v>NOT READY</x:v>
      </x:c>
    </x:row>
    <x:row r="31">
      <x:c r="A31" s="11" t="str">
        <x:v>SEOUL030</x:v>
      </x:c>
      <x:c r="B31" s="11" t="str">
        <x:v>스페이스K 서울</x:v>
      </x:c>
      <x:c r="C31" s="11" t="str">
        <x:v>Media Art</x:v>
      </x:c>
      <x:c r="D31" s="11" t="str">
        <x:v>강서구</x:v>
      </x:c>
      <x:c r="E31" s="11" t="str">
        <x:v>medium</x:v>
      </x:c>
      <x:c r="F31" s="11" t="str">
        <x:v>B</x:v>
      </x:c>
      <x:c r="G31" s="11" t="str">
        <x:v>needs_geocoding</x:v>
      </x:c>
      <x:c r="H31" s="11" t="str">
        <x:v>Missing</x:v>
      </x:c>
      <x:c r="I31" s="11" t="str">
        <x:v>Pending</x:v>
      </x:c>
      <x:c r="J31" s="11" t="str">
        <x:v>Review</x:v>
      </x:c>
      <x:c r="K31" s="11" t="str">
        <x:f>IF(AND(H31="Ready",I31="Ready",J31="OK"),"READY","NOT READY")</x:f>
        <x:v>NOT READY</x:v>
      </x:c>
    </x:row>
    <x:row r="32">
      <x:c r="A32" s="11" t="str">
        <x:v>SEOUL031</x:v>
      </x:c>
      <x:c r="B32" s="11" t="str">
        <x:v>문화역서울284</x:v>
      </x:c>
      <x:c r="C32" s="11" t="str">
        <x:v>Media Art</x:v>
      </x:c>
      <x:c r="D32" s="11" t="str">
        <x:v>중구</x:v>
      </x:c>
      <x:c r="E32" s="11" t="str">
        <x:v>medium</x:v>
      </x:c>
      <x:c r="F32" s="11" t="str">
        <x:v>B</x:v>
      </x:c>
      <x:c r="G32" s="11" t="str">
        <x:v>needs_geocoding</x:v>
      </x:c>
      <x:c r="H32" s="11" t="str">
        <x:v>Missing</x:v>
      </x:c>
      <x:c r="I32" s="11" t="str">
        <x:v>Pending</x:v>
      </x:c>
      <x:c r="J32" s="11" t="str">
        <x:v>Review</x:v>
      </x:c>
      <x:c r="K32" s="11" t="str">
        <x:f>IF(AND(H32="Ready",I32="Ready",J32="OK"),"READY","NOT READY")</x:f>
        <x:v>NOT READY</x:v>
      </x:c>
    </x:row>
    <x:row r="33">
      <x:c r="A33" s="11" t="str">
        <x:v>SEOUL032</x:v>
      </x:c>
      <x:c r="B33" s="11" t="str">
        <x:v>서울도시건축전시관</x:v>
      </x:c>
      <x:c r="C33" s="11" t="str">
        <x:v>Media Art</x:v>
      </x:c>
      <x:c r="D33" s="11" t="str">
        <x:v>중구</x:v>
      </x:c>
      <x:c r="E33" s="11" t="str">
        <x:v>medium</x:v>
      </x:c>
      <x:c r="F33" s="11" t="str">
        <x:v>B</x:v>
      </x:c>
      <x:c r="G33" s="11" t="str">
        <x:v>needs_geocoding</x:v>
      </x:c>
      <x:c r="H33" s="11" t="str">
        <x:v>Missing</x:v>
      </x:c>
      <x:c r="I33" s="11" t="str">
        <x:v>Pending</x:v>
      </x:c>
      <x:c r="J33" s="11" t="str">
        <x:v>Review</x:v>
      </x:c>
      <x:c r="K33" s="11" t="str">
        <x:f>IF(AND(H33="Ready",I33="Ready",J33="OK"),"READY","NOT READY")</x:f>
        <x:v>NOT READY</x:v>
      </x:c>
    </x:row>
    <x:row r="34">
      <x:c r="A34" s="11" t="str">
        <x:v>SEOUL033</x:v>
      </x:c>
      <x:c r="B34" s="11" t="str">
        <x:v>문화비축기지 T4·T5</x:v>
      </x:c>
      <x:c r="C34" s="11" t="str">
        <x:v>Immersive</x:v>
      </x:c>
      <x:c r="D34" s="11" t="str">
        <x:v>마포구</x:v>
      </x:c>
      <x:c r="E34" s="11" t="str">
        <x:v>high</x:v>
      </x:c>
      <x:c r="F34" s="11" t="str">
        <x:v>B</x:v>
      </x:c>
      <x:c r="G34" s="11" t="str">
        <x:v>needs_geocoding</x:v>
      </x:c>
      <x:c r="H34" s="11" t="str">
        <x:v>Missing</x:v>
      </x:c>
      <x:c r="I34" s="11" t="str">
        <x:v>Pending</x:v>
      </x:c>
      <x:c r="J34" s="11" t="str">
        <x:v>OK</x:v>
      </x:c>
      <x:c r="K34" s="11" t="str">
        <x:f>IF(AND(H34="Ready",I34="Ready",J34="OK"),"READY","NOT READY")</x:f>
        <x:v>NOT READY</x:v>
      </x:c>
    </x:row>
    <x:row r="35">
      <x:c r="A35" s="11" t="str">
        <x:v>SEOUL034</x:v>
      </x:c>
      <x:c r="B35" s="11" t="str">
        <x:v>서울시립 사진미술관</x:v>
      </x:c>
      <x:c r="C35" s="11" t="str">
        <x:v>Media Art</x:v>
      </x:c>
      <x:c r="D35" s="11" t="str">
        <x:v>도봉구</x:v>
      </x:c>
      <x:c r="E35" s="11" t="str">
        <x:v>high</x:v>
      </x:c>
      <x:c r="F35" s="11" t="str">
        <x:v>B</x:v>
      </x:c>
      <x:c r="G35" s="11" t="str">
        <x:v>needs_geocoding</x:v>
      </x:c>
      <x:c r="H35" s="11" t="str">
        <x:v>Missing</x:v>
      </x:c>
      <x:c r="I35" s="11" t="str">
        <x:v>Pending</x:v>
      </x:c>
      <x:c r="J35" s="11" t="str">
        <x:v>OK</x:v>
      </x:c>
      <x:c r="K35" s="11" t="str">
        <x:f>IF(AND(H35="Ready",I35="Ready",J35="OK"),"READY","NOT READY")</x:f>
        <x:v>NOT READY</x:v>
      </x:c>
    </x:row>
    <x:row r="36">
      <x:c r="A36" s="11" t="str">
        <x:v>SEOUL035</x:v>
      </x:c>
      <x:c r="B36" s="11" t="str">
        <x:v>서울시립미술관 서소문본관</x:v>
      </x:c>
      <x:c r="C36" s="11" t="str">
        <x:v>Media Art</x:v>
      </x:c>
      <x:c r="D36" s="11" t="str">
        <x:v>중구</x:v>
      </x:c>
      <x:c r="E36" s="11" t="str">
        <x:v>high</x:v>
      </x:c>
      <x:c r="F36" s="11" t="str">
        <x:v>B</x:v>
      </x:c>
      <x:c r="G36" s="11" t="str">
        <x:v>needs_geocoding</x:v>
      </x:c>
      <x:c r="H36" s="11" t="str">
        <x:v>Missing</x:v>
      </x:c>
      <x:c r="I36" s="11" t="str">
        <x:v>Pending</x:v>
      </x:c>
      <x:c r="J36" s="11" t="str">
        <x:v>OK</x:v>
      </x:c>
      <x:c r="K36" s="11" t="str">
        <x:f>IF(AND(H36="Ready",I36="Ready",J36="OK"),"READY","NOT READY")</x:f>
        <x:v>NOT READY</x:v>
      </x:c>
    </x:row>
    <x:row r="37">
      <x:c r="A37" s="11" t="str">
        <x:v>SEOUL036</x:v>
      </x:c>
      <x:c r="B37" s="11" t="str">
        <x:v>서울시립 북서울미술관</x:v>
      </x:c>
      <x:c r="C37" s="11" t="str">
        <x:v>Media Art</x:v>
      </x:c>
      <x:c r="D37" s="11" t="str">
        <x:v>노원구</x:v>
      </x:c>
      <x:c r="E37" s="11" t="str">
        <x:v>high</x:v>
      </x:c>
      <x:c r="F37" s="11" t="str">
        <x:v>B</x:v>
      </x:c>
      <x:c r="G37" s="11" t="str">
        <x:v>needs_geocoding</x:v>
      </x:c>
      <x:c r="H37" s="11" t="str">
        <x:v>Missing</x:v>
      </x:c>
      <x:c r="I37" s="11" t="str">
        <x:v>Pending</x:v>
      </x:c>
      <x:c r="J37" s="11" t="str">
        <x:v>OK</x:v>
      </x:c>
      <x:c r="K37" s="11" t="str">
        <x:f>IF(AND(H37="Ready",I37="Ready",J37="OK"),"READY","NOT READY")</x:f>
        <x:v>NOT READY</x:v>
      </x:c>
    </x:row>
    <x:row r="38">
      <x:c r="A38" s="11" t="str">
        <x:v>SEOUL037</x:v>
      </x:c>
      <x:c r="B38" s="11" t="str">
        <x:v>서울시립 백남준을 기억하는 집</x:v>
      </x:c>
      <x:c r="C38" s="11" t="str">
        <x:v>Media Art</x:v>
      </x:c>
      <x:c r="D38" s="11" t="str">
        <x:v>종로구</x:v>
      </x:c>
      <x:c r="E38" s="11" t="str">
        <x:v>high</x:v>
      </x:c>
      <x:c r="F38" s="11" t="str">
        <x:v>B</x:v>
      </x:c>
      <x:c r="G38" s="11" t="str">
        <x:v>needs_geocoding</x:v>
      </x:c>
      <x:c r="H38" s="11" t="str">
        <x:v>Missing</x:v>
      </x:c>
      <x:c r="I38" s="11" t="str">
        <x:v>Pending</x:v>
      </x:c>
      <x:c r="J38" s="11" t="str">
        <x:v>OK</x:v>
      </x:c>
      <x:c r="K38" s="11" t="str">
        <x:f>IF(AND(H38="Ready",I38="Ready",J38="OK"),"READY","NOT READY")</x:f>
        <x:v>NOT READY</x:v>
      </x:c>
    </x:row>
    <x:row r="39">
      <x:c r="A39" s="11" t="str">
        <x:v>SEOUL038</x:v>
      </x:c>
      <x:c r="B39" s="11" t="str">
        <x:v>서울시청 서울림(林) 미디어월</x:v>
      </x:c>
      <x:c r="C39" s="11" t="str">
        <x:v>Media Art</x:v>
      </x:c>
      <x:c r="D39" s="11" t="str">
        <x:v>중구</x:v>
      </x:c>
      <x:c r="E39" s="11" t="str">
        <x:v>high</x:v>
      </x:c>
      <x:c r="F39" s="11" t="str">
        <x:v>B</x:v>
      </x:c>
      <x:c r="G39" s="11" t="str">
        <x:v>needs_geocoding</x:v>
      </x:c>
      <x:c r="H39" s="11" t="str">
        <x:v>Missing</x:v>
      </x:c>
      <x:c r="I39" s="11" t="str">
        <x:v>Pending</x:v>
      </x:c>
      <x:c r="J39" s="11" t="str">
        <x:v>Review</x:v>
      </x:c>
      <x:c r="K39" s="11" t="str">
        <x:f>IF(AND(H39="Ready",I39="Ready",J39="OK"),"READY","NOT READY")</x:f>
        <x:v>NOT READY</x:v>
      </x:c>
    </x:row>
    <x:row r="40">
      <x:c r="A40" s="11" t="str">
        <x:v>SEOUL039</x:v>
      </x:c>
      <x:c r="B40" s="11" t="str">
        <x:v>피크닉</x:v>
      </x:c>
      <x:c r="C40" s="11" t="str">
        <x:v>Media Art</x:v>
      </x:c>
      <x:c r="D40" s="11" t="str">
        <x:v>중구</x:v>
      </x:c>
      <x:c r="E40" s="11" t="str">
        <x:v>medium</x:v>
      </x:c>
      <x:c r="F40" s="11" t="str">
        <x:v>B</x:v>
      </x:c>
      <x:c r="G40" s="11" t="str">
        <x:v>needs_geocoding</x:v>
      </x:c>
      <x:c r="H40" s="11" t="str">
        <x:v>Missing</x:v>
      </x:c>
      <x:c r="I40" s="11" t="str">
        <x:v>Pending</x:v>
      </x:c>
      <x:c r="J40" s="11" t="str">
        <x:v>Review</x:v>
      </x:c>
      <x:c r="K40" s="11" t="str">
        <x:f>IF(AND(H40="Ready",I40="Ready",J40="OK"),"READY","NOT READY")</x:f>
        <x:v>NOT READY</x:v>
      </x:c>
    </x:row>
    <x:row r="41">
      <x:c r="A41" s="11" t="str">
        <x:v>SEOUL040</x:v>
      </x:c>
      <x:c r="B41" s="11" t="str">
        <x:v>더현대 서울 ALT.1</x:v>
      </x:c>
      <x:c r="C41" s="11" t="str">
        <x:v>Immersive</x:v>
      </x:c>
      <x:c r="D41" s="11" t="str">
        <x:v>영등포구</x:v>
      </x:c>
      <x:c r="E41" s="11" t="str">
        <x:v>medium</x:v>
      </x:c>
      <x:c r="F41" s="11" t="str">
        <x:v>B</x:v>
      </x:c>
      <x:c r="G41" s="11" t="str">
        <x:v>needs_geocoding</x:v>
      </x:c>
      <x:c r="H41" s="11" t="str">
        <x:v>Missing</x:v>
      </x:c>
      <x:c r="I41" s="11" t="str">
        <x:v>Pending</x:v>
      </x:c>
      <x:c r="J41" s="11" t="str">
        <x:v>Review</x:v>
      </x:c>
      <x:c r="K41" s="11" t="str">
        <x:f>IF(AND(H41="Ready",I41="Ready",J41="OK"),"READY","NOT READY")</x:f>
        <x:v>NOT READY</x:v>
      </x:c>
    </x:row>
    <x:row r="42">
      <x:c r="A42" s="11" t="str">
        <x:v>SEOUL041</x:v>
      </x:c>
      <x:c r="B42" s="11" t="str">
        <x:v>그라운드시소 이스트</x:v>
      </x:c>
      <x:c r="C42" s="11" t="str">
        <x:v>Immersive</x:v>
      </x:c>
      <x:c r="D42" s="11" t="str">
        <x:v>광진구</x:v>
      </x:c>
      <x:c r="E42" s="11" t="str">
        <x:v>medium</x:v>
      </x:c>
      <x:c r="F42" s="11" t="str">
        <x:v>B</x:v>
      </x:c>
      <x:c r="G42" s="11" t="str">
        <x:v>needs_manual_review</x:v>
      </x:c>
      <x:c r="H42" s="11" t="str">
        <x:v>Missing</x:v>
      </x:c>
      <x:c r="I42" s="11" t="str">
        <x:v>Pending</x:v>
      </x:c>
      <x:c r="J42" s="11" t="str">
        <x:v>Review</x:v>
      </x:c>
      <x:c r="K42" s="11" t="str">
        <x:f>IF(AND(H42="Ready",I42="Ready",J42="OK"),"READY","NOT READY")</x:f>
        <x:v>NOT READY</x:v>
      </x:c>
    </x:row>
    <x:row r="43">
      <x:c r="A43" s="11" t="str">
        <x:v>SEOUL042</x:v>
      </x:c>
      <x:c r="B43" s="11" t="str">
        <x:v>그라운드시소 서촌</x:v>
      </x:c>
      <x:c r="C43" s="11" t="str">
        <x:v>Media Art</x:v>
      </x:c>
      <x:c r="D43" s="11" t="str">
        <x:v>종로구</x:v>
      </x:c>
      <x:c r="E43" s="11" t="str">
        <x:v>medium</x:v>
      </x:c>
      <x:c r="F43" s="11" t="str">
        <x:v>C</x:v>
      </x:c>
      <x:c r="G43" s="11" t="str">
        <x:v>needs_geocoding</x:v>
      </x:c>
      <x:c r="H43" s="11" t="str">
        <x:v>Missing</x:v>
      </x:c>
      <x:c r="I43" s="11" t="str">
        <x:v>Pending</x:v>
      </x:c>
      <x:c r="J43" s="11" t="str">
        <x:v>Review</x:v>
      </x:c>
      <x:c r="K43" s="11" t="str">
        <x:f>IF(AND(H43="Ready",I43="Ready",J43="OK"),"READY","NOT READY")</x:f>
        <x:v>NOT READY</x:v>
      </x:c>
    </x:row>
    <x:row r="44">
      <x:c r="A44" s="11" t="str">
        <x:v>SEOUL043</x:v>
      </x:c>
      <x:c r="B44" s="11" t="str">
        <x:v>N서울타워</x:v>
      </x:c>
      <x:c r="C44" s="11" t="str">
        <x:v>Light Art</x:v>
      </x:c>
      <x:c r="D44" s="11" t="str">
        <x:v>용산구</x:v>
      </x:c>
      <x:c r="E44" s="11" t="str">
        <x:v>high</x:v>
      </x:c>
      <x:c r="F44" s="11" t="str">
        <x:v>A</x:v>
      </x:c>
      <x:c r="G44" s="11" t="str">
        <x:v>needs_geocoding</x:v>
      </x:c>
      <x:c r="H44" s="11" t="str">
        <x:v>Missing</x:v>
      </x:c>
      <x:c r="I44" s="11" t="str">
        <x:v>Pending</x:v>
      </x:c>
      <x:c r="J44" s="11" t="str">
        <x:v>OK</x:v>
      </x:c>
      <x:c r="K44" s="11" t="str">
        <x:f>IF(AND(H44="Ready",I44="Ready",J44="OK"),"READY","NOT READY")</x:f>
        <x:v>NOT READY</x:v>
      </x:c>
    </x:row>
    <x:row r="45">
      <x:c r="A45" s="11" t="str">
        <x:v>SEOUL044</x:v>
      </x:c>
      <x:c r="B45" s="11" t="str">
        <x:v>세빛섬</x:v>
      </x:c>
      <x:c r="C45" s="11" t="str">
        <x:v>Light Art</x:v>
      </x:c>
      <x:c r="D45" s="11" t="str">
        <x:v>서초구</x:v>
      </x:c>
      <x:c r="E45" s="11" t="str">
        <x:v>high</x:v>
      </x:c>
      <x:c r="F45" s="11" t="str">
        <x:v>A</x:v>
      </x:c>
      <x:c r="G45" s="11" t="str">
        <x:v>needs_geocoding</x:v>
      </x:c>
      <x:c r="H45" s="11" t="str">
        <x:v>Missing</x:v>
      </x:c>
      <x:c r="I45" s="11" t="str">
        <x:v>Pending</x:v>
      </x:c>
      <x:c r="J45" s="11" t="str">
        <x:v>OK</x:v>
      </x:c>
      <x:c r="K45" s="11" t="str">
        <x:f>IF(AND(H45="Ready",I45="Ready",J45="OK"),"READY","NOT READY")</x:f>
        <x:v>NOT READY</x:v>
      </x:c>
    </x:row>
    <x:row r="46">
      <x:c r="A46" s="11" t="str">
        <x:v>SEOUL045</x:v>
      </x:c>
      <x:c r="B46" s="11" t="str">
        <x:v>반포대교 달빛무지개분수</x:v>
      </x:c>
      <x:c r="C46" s="11" t="str">
        <x:v>Light Art</x:v>
      </x:c>
      <x:c r="D46" s="11" t="str">
        <x:v>서초구</x:v>
      </x:c>
      <x:c r="E46" s="11" t="str">
        <x:v>high</x:v>
      </x:c>
      <x:c r="F46" s="11" t="str">
        <x:v>A</x:v>
      </x:c>
      <x:c r="G46" s="11" t="str">
        <x:v>needs_geocoding</x:v>
      </x:c>
      <x:c r="H46" s="11" t="str">
        <x:v>Missing</x:v>
      </x:c>
      <x:c r="I46" s="11" t="str">
        <x:v>Pending</x:v>
      </x:c>
      <x:c r="J46" s="11" t="str">
        <x:v>OK</x:v>
      </x:c>
      <x:c r="K46" s="11" t="str">
        <x:f>IF(AND(H46="Ready",I46="Ready",J46="OK"),"READY","NOT READY")</x:f>
        <x:v>NOT READY</x:v>
      </x:c>
    </x:row>
    <x:row r="47">
      <x:c r="A47" s="11" t="str">
        <x:v>SEOUL046</x:v>
      </x:c>
      <x:c r="B47" s="11" t="str">
        <x:v>서울로7017 야간조명</x:v>
      </x:c>
      <x:c r="C47" s="11" t="str">
        <x:v>Light Art</x:v>
      </x:c>
      <x:c r="D47" s="11" t="str">
        <x:v>중구</x:v>
      </x:c>
      <x:c r="E47" s="11" t="str">
        <x:v>high</x:v>
      </x:c>
      <x:c r="F47" s="11" t="str">
        <x:v>B</x:v>
      </x:c>
      <x:c r="G47" s="11" t="str">
        <x:v>needs_geocoding</x:v>
      </x:c>
      <x:c r="H47" s="11" t="str">
        <x:v>Missing</x:v>
      </x:c>
      <x:c r="I47" s="11" t="str">
        <x:v>Pending</x:v>
      </x:c>
      <x:c r="J47" s="11" t="str">
        <x:v>OK</x:v>
      </x:c>
      <x:c r="K47" s="11" t="str">
        <x:f>IF(AND(H47="Ready",I47="Ready",J47="OK"),"READY","NOT READY")</x:f>
        <x:v>NOT READY</x:v>
      </x:c>
    </x:row>
    <x:row r="48">
      <x:c r="A48" s="11" t="str">
        <x:v>SEOUL047</x:v>
      </x:c>
      <x:c r="B48" s="11" t="str">
        <x:v>홍제유연</x:v>
      </x:c>
      <x:c r="C48" s="11" t="str">
        <x:v>Light Art</x:v>
      </x:c>
      <x:c r="D48" s="11" t="str">
        <x:v>서대문구</x:v>
      </x:c>
      <x:c r="E48" s="11" t="str">
        <x:v>medium</x:v>
      </x:c>
      <x:c r="F48" s="11" t="str">
        <x:v>A</x:v>
      </x:c>
      <x:c r="G48" s="11" t="str">
        <x:v>needs_geocoding</x:v>
      </x:c>
      <x:c r="H48" s="11" t="str">
        <x:v>Missing</x:v>
      </x:c>
      <x:c r="I48" s="11" t="str">
        <x:v>Pending</x:v>
      </x:c>
      <x:c r="J48" s="11" t="str">
        <x:v>Review</x:v>
      </x:c>
      <x:c r="K48" s="11" t="str">
        <x:f>IF(AND(H48="Ready",I48="Ready",J48="OK"),"READY","NOT READY")</x:f>
        <x:v>NOT READY</x:v>
      </x:c>
    </x:row>
    <x:row r="49">
      <x:c r="A49" s="11" t="str">
        <x:v>SEOUL048</x:v>
      </x:c>
      <x:c r="B49" s="11" t="str">
        <x:v>별마당도서관</x:v>
      </x:c>
      <x:c r="C49" s="11" t="str">
        <x:v>Architecture</x:v>
      </x:c>
      <x:c r="D49" s="11" t="str">
        <x:v>강남구</x:v>
      </x:c>
      <x:c r="E49" s="11" t="str">
        <x:v>high</x:v>
      </x:c>
      <x:c r="F49" s="11" t="str">
        <x:v>B</x:v>
      </x:c>
      <x:c r="G49" s="11" t="str">
        <x:v>needs_geocoding</x:v>
      </x:c>
      <x:c r="H49" s="11" t="str">
        <x:v>Missing</x:v>
      </x:c>
      <x:c r="I49" s="11" t="str">
        <x:v>Pending</x:v>
      </x:c>
      <x:c r="J49" s="11" t="str">
        <x:v>OK</x:v>
      </x:c>
      <x:c r="K49" s="11" t="str">
        <x:f>IF(AND(H49="Ready",I49="Ready",J49="OK"),"READY","NOT READY")</x:f>
        <x:v>NOT READY</x:v>
      </x:c>
    </x:row>
    <x:row r="50">
      <x:c r="A50" s="11" t="str">
        <x:v>SEOUL049</x:v>
      </x:c>
      <x:c r="B50" s="11" t="str">
        <x:v>서울웨이브 아트센터</x:v>
      </x:c>
      <x:c r="C50" s="11" t="str">
        <x:v>Architecture</x:v>
      </x:c>
      <x:c r="D50" s="11" t="str">
        <x:v>서초구</x:v>
      </x:c>
      <x:c r="E50" s="11" t="str">
        <x:v>medium</x:v>
      </x:c>
      <x:c r="F50" s="11" t="str">
        <x:v>C</x:v>
      </x:c>
      <x:c r="G50" s="11" t="str">
        <x:v>needs_geocoding</x:v>
      </x:c>
      <x:c r="H50" s="11" t="str">
        <x:v>Missing</x:v>
      </x:c>
      <x:c r="I50" s="11" t="str">
        <x:v>Pending</x:v>
      </x:c>
      <x:c r="J50" s="11" t="str">
        <x:v>Review</x:v>
      </x:c>
      <x:c r="K50" s="11" t="str">
        <x:f>IF(AND(H50="Ready",I50="Ready",J50="OK"),"READY","NOT READY")</x:f>
        <x:v>NOT READY</x:v>
      </x:c>
    </x:row>
    <x:row r="51">
      <x:c r="A51" s="11" t="str">
        <x:v>SEOUL050</x:v>
      </x:c>
      <x:c r="B51" s="11" t="str">
        <x:v>노원 불빛정원(화랑대 철도공원)</x:v>
      </x:c>
      <x:c r="C51" s="11" t="str">
        <x:v>Light Art</x:v>
      </x:c>
      <x:c r="D51" s="11" t="str">
        <x:v>노원구</x:v>
      </x:c>
      <x:c r="E51" s="11" t="str">
        <x:v>high</x:v>
      </x:c>
      <x:c r="F51" s="11" t="str">
        <x:v>A</x:v>
      </x:c>
      <x:c r="G51" s="11" t="str">
        <x:v>needs_geocoding</x:v>
      </x:c>
      <x:c r="H51" s="11" t="str">
        <x:v>Missing</x:v>
      </x:c>
      <x:c r="I51" s="11" t="str">
        <x:v>Pending</x:v>
      </x:c>
      <x:c r="J51" s="11" t="str">
        <x:v>OK</x:v>
      </x:c>
      <x:c r="K51" s="11" t="str">
        <x:f>IF(AND(H51="Ready",I51="Ready",J51="OK"),"READY","NOT READY")</x:f>
        <x:v>NOT READY</x:v>
      </x:c>
    </x:row>
  </x:sheetData>
  <x:conditionalFormatting sqref="K2:K51">
    <x:cfRule type="expression" dxfId="3" priority="1">
      <x:formula>K2="READY"</x:formula>
    </x:cfRule>
    <x:cfRule type="expression" dxfId="4" priority="2">
      <x:formula>K2="NOT READY"</x:formula>
    </x:cfRule>
  </x:conditionalFormatting>
  <x:dataValidations count="2">
    <x:dataValidation type="list" sqref="I2:I51">
      <x:formula1>"Pending,Ready,Not usable"</x:formula1>
    </x:dataValidation>
    <x:dataValidation type="list" sqref="J2:J51">
      <x:formula1>"OK,Review"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ed9be9492649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36" hidden="0" customWidth="1"/>
    <x:col min="5" max="5" width="38" hidden="0" customWidth="1"/>
    <x:col min="6" max="6" width="10" hidden="0" customWidth="1"/>
    <x:col min="7" max="7" width="14" hidden="0" customWidth="1"/>
  </x:cols>
  <x:sheetData>
    <x:row r="1">
      <x:c r="A1" s="23" t="str">
        <x:v>id</x:v>
      </x:c>
      <x:c r="B1" s="23" t="str">
        <x:v>area</x:v>
      </x:c>
      <x:c r="C1" s="23" t="str">
        <x:v>test</x:v>
      </x:c>
      <x:c r="D1" s="23" t="str">
        <x:v>steps</x:v>
      </x:c>
      <x:c r="E1" s="23" t="str">
        <x:v>expected</x:v>
      </x:c>
      <x:c r="F1" s="23" t="str">
        <x:v>priority</x:v>
      </x:c>
      <x:c r="G1" s="23" t="str">
        <x:v>status</x:v>
      </x:c>
    </x:row>
    <x:row r="2">
      <x:c r="A2" s="11" t="str">
        <x:v>QA-001</x:v>
      </x:c>
      <x:c r="B2" s="11" t="str">
        <x:v>Public</x:v>
      </x:c>
      <x:c r="C2" s="11" t="str">
        <x:v>Home anonymous</x:v>
      </x:c>
      <x:c r="D2" s="11" t="str">
        <x:v>로그아웃 상태 앱 실행</x:v>
      </x:c>
      <x:c r="E2" s="11" t="str">
        <x:v>Home이 로그인 없이 로드</x:v>
      </x:c>
      <x:c r="F2" s="11" t="str">
        <x:v>P0</x:v>
      </x:c>
      <x:c r="G2" s="11" t="str">
        <x:v>Not run</x:v>
      </x:c>
    </x:row>
    <x:row r="3">
      <x:c r="A3" s="11" t="str">
        <x:v>QA-002</x:v>
      </x:c>
      <x:c r="B3" s="11" t="str">
        <x:v>Data</x:v>
      </x:c>
      <x:c r="C3" s="11" t="str">
        <x:v>Seed count</x:v>
      </x:c>
      <x:c r="D3" s="11" t="str">
        <x:v>Supabase places 조회</x:v>
      </x:c>
      <x:c r="E3" s="11" t="str">
        <x:v>50행 존재</x:v>
      </x:c>
      <x:c r="F3" s="11" t="str">
        <x:v>P0</x:v>
      </x:c>
      <x:c r="G3" s="11" t="str">
        <x:v>Not run</x:v>
      </x:c>
    </x:row>
    <x:row r="4">
      <x:c r="A4" s="11" t="str">
        <x:v>QA-003</x:v>
      </x:c>
      <x:c r="B4" s="11" t="str">
        <x:v>Navigation</x:v>
      </x:c>
      <x:c r="C4" s="11" t="str">
        <x:v>Place detail</x:v>
      </x:c>
      <x:c r="D4" s="11" t="str">
        <x:v>Home 카드 탭</x:v>
      </x:c>
      <x:c r="E4" s="11" t="str">
        <x:v>선택한 placeId의 상세정보 표시</x:v>
      </x:c>
      <x:c r="F4" s="11" t="str">
        <x:v>P0</x:v>
      </x:c>
      <x:c r="G4" s="11" t="str">
        <x:v>Not run</x:v>
      </x:c>
    </x:row>
    <x:row r="5">
      <x:c r="A5" s="11" t="str">
        <x:v>QA-004</x:v>
      </x:c>
      <x:c r="B5" s="11" t="str">
        <x:v>Search</x:v>
      </x:c>
      <x:c r="C5" s="11" t="str">
        <x:v>Korean search</x:v>
      </x:c>
      <x:c r="D5" s="11" t="str">
        <x:v>'광화' 검색</x:v>
      </x:c>
      <x:c r="E5" s="11" t="str">
        <x:v>관련 장소 반환</x:v>
      </x:c>
      <x:c r="F5" s="11" t="str">
        <x:v>P1</x:v>
      </x:c>
      <x:c r="G5" s="11" t="str">
        <x:v>Not run</x:v>
      </x:c>
    </x:row>
    <x:row r="6">
      <x:c r="A6" s="11" t="str">
        <x:v>QA-005</x:v>
      </x:c>
      <x:c r="B6" s="11" t="str">
        <x:v>Curation</x:v>
      </x:c>
      <x:c r="C6" s="11" t="str">
        <x:v>Curation order</x:v>
      </x:c>
      <x:c r="D6" s="11" t="str">
        <x:v>큐레이션 상세 진입</x:v>
      </x:c>
      <x:c r="E6" s="11" t="str">
        <x:v>sort_order 순으로 장소 표시</x:v>
      </x:c>
      <x:c r="F6" s="11" t="str">
        <x:v>P1</x:v>
      </x:c>
      <x:c r="G6" s="11" t="str">
        <x:v>Not run</x:v>
      </x:c>
    </x:row>
    <x:row r="7">
      <x:c r="A7" s="11" t="str">
        <x:v>QA-006</x:v>
      </x:c>
      <x:c r="B7" s="11" t="str">
        <x:v>Auth</x:v>
      </x:c>
      <x:c r="C7" s="11" t="str">
        <x:v>Login gate</x:v>
      </x:c>
      <x:c r="D7" s="11" t="str">
        <x:v>로그아웃 상태 저장 탭</x:v>
      </x:c>
      <x:c r="E7" s="11" t="str">
        <x:v>Auth 화면으로 이동</x:v>
      </x:c>
      <x:c r="F7" s="11" t="str">
        <x:v>P0</x:v>
      </x:c>
      <x:c r="G7" s="11" t="str">
        <x:v>Not run</x:v>
      </x:c>
    </x:row>
    <x:row r="8">
      <x:c r="A8" s="11" t="str">
        <x:v>QA-007</x:v>
      </x:c>
      <x:c r="B8" s="11" t="str">
        <x:v>Save</x:v>
      </x:c>
      <x:c r="C8" s="11" t="str">
        <x:v>Toggle save</x:v>
      </x:c>
      <x:c r="D8" s="11" t="str">
        <x:v>로그인 후 저장 2회</x:v>
      </x:c>
      <x:c r="E8" s="11" t="str">
        <x:v>insert 후 delete; 중복행 없음</x:v>
      </x:c>
      <x:c r="F8" s="11" t="str">
        <x:v>P0</x:v>
      </x:c>
      <x:c r="G8" s="11" t="str">
        <x:v>Not run</x:v>
      </x:c>
    </x:row>
    <x:row r="9">
      <x:c r="A9" s="11" t="str">
        <x:v>QA-008</x:v>
      </x:c>
      <x:c r="B9" s="11" t="str">
        <x:v>Visit</x:v>
      </x:c>
      <x:c r="C9" s="11" t="str">
        <x:v>Visit counter</x:v>
      </x:c>
      <x:c r="D9" s="11" t="str">
        <x:v>방문했어요 2회</x:v>
      </x:c>
      <x:c r="E9" s="11" t="str">
        <x:v>visit_count가 2</x:v>
      </x:c>
      <x:c r="F9" s="11" t="str">
        <x:v>P1</x:v>
      </x:c>
      <x:c r="G9" s="11" t="str">
        <x:v>Not run</x:v>
      </x:c>
    </x:row>
    <x:row r="10">
      <x:c r="A10" s="11" t="str">
        <x:v>QA-009</x:v>
      </x:c>
      <x:c r="B10" s="11" t="str">
        <x:v>RLS</x:v>
      </x:c>
      <x:c r="C10" s="11" t="str">
        <x:v>Cross-user saved</x:v>
      </x:c>
      <x:c r="D10" s="11" t="str">
        <x:v>사용자 B로 사용자 A 데이터 접근 시도</x:v>
      </x:c>
      <x:c r="E10" s="11" t="str">
        <x:v>읽기 불가</x:v>
      </x:c>
      <x:c r="F10" s="11" t="str">
        <x:v>P0</x:v>
      </x:c>
      <x:c r="G10" s="11" t="str">
        <x:v>Not run</x:v>
      </x:c>
    </x:row>
    <x:row r="11">
      <x:c r="A11" s="11" t="str">
        <x:v>QA-010</x:v>
      </x:c>
      <x:c r="B11" s="11" t="str">
        <x:v>RLS</x:v>
      </x:c>
      <x:c r="C11" s="11" t="str">
        <x:v>Cross-user visited</x:v>
      </x:c>
      <x:c r="D11" s="11" t="str">
        <x:v>사용자 B로 사용자 A 데이터 접근 시도</x:v>
      </x:c>
      <x:c r="E11" s="11" t="str">
        <x:v>읽기 불가</x:v>
      </x:c>
      <x:c r="F11" s="11" t="str">
        <x:v>P0</x:v>
      </x:c>
      <x:c r="G11" s="11" t="str">
        <x:v>Not run</x:v>
      </x:c>
    </x:row>
    <x:row r="12">
      <x:c r="A12" s="11" t="str">
        <x:v>QA-011</x:v>
      </x:c>
      <x:c r="B12" s="11" t="str">
        <x:v>Map</x:v>
      </x:c>
      <x:c r="C12" s="11" t="str">
        <x:v>Missing coordinate safety</x:v>
      </x:c>
      <x:c r="D12" s="11" t="str">
        <x:v>lat/lng null 장소 존재</x:v>
      </x:c>
      <x:c r="E12" s="11" t="str">
        <x:v>지도 marker로 전달되지 않음</x:v>
      </x:c>
      <x:c r="F12" s="11" t="str">
        <x:v>P0</x:v>
      </x:c>
      <x:c r="G12" s="11" t="str">
        <x:v>Not run</x:v>
      </x:c>
    </x:row>
    <x:row r="13">
      <x:c r="A13" s="11" t="str">
        <x:v>QA-012</x:v>
      </x:c>
      <x:c r="B13" s="11" t="str">
        <x:v>Map</x:v>
      </x:c>
      <x:c r="C13" s="11" t="str">
        <x:v>Coordinate bounds</x:v>
      </x:c>
      <x:c r="D13" s="11" t="str">
        <x:v>모든 좌표 검사</x:v>
      </x:c>
      <x:c r="E13" s="11" t="str">
        <x:v>lat -90~90, lng -180~180</x:v>
      </x:c>
      <x:c r="F13" s="11" t="str">
        <x:v>P0</x:v>
      </x:c>
      <x:c r="G13" s="11" t="str">
        <x:v>Not run</x:v>
      </x:c>
    </x:row>
    <x:row r="14">
      <x:c r="A14" s="11" t="str">
        <x:v>QA-013</x:v>
      </x:c>
      <x:c r="B14" s="11" t="str">
        <x:v>External</x:v>
      </x:c>
      <x:c r="C14" s="11" t="str">
        <x:v>Official URL</x:v>
      </x:c>
      <x:c r="D14" s="11" t="str">
        <x:v>상세 공식링크 탭</x:v>
      </x:c>
      <x:c r="E14" s="11" t="str">
        <x:v>정상 URL 열림</x:v>
      </x:c>
      <x:c r="F14" s="11" t="str">
        <x:v>P1</x:v>
      </x:c>
      <x:c r="G14" s="11" t="str">
        <x:v>Not run</x:v>
      </x:c>
    </x:row>
    <x:row r="15">
      <x:c r="A15" s="11" t="str">
        <x:v>QA-014</x:v>
      </x:c>
      <x:c r="B15" s="11" t="str">
        <x:v>Copyright</x:v>
      </x:c>
      <x:c r="C15" s="11" t="str">
        <x:v>Media metadata</x:v>
      </x:c>
      <x:c r="D15" s="11" t="str">
        <x:v>이미지 게시 전 확인</x:v>
      </x:c>
      <x:c r="E15" s="11" t="str">
        <x:v>copyright/source 기록</x:v>
      </x:c>
      <x:c r="F15" s="11" t="str">
        <x:v>P0</x:v>
      </x:c>
      <x:c r="G15" s="11" t="str">
        <x:v>Not run</x:v>
      </x:c>
    </x:row>
    <x:row r="16">
      <x:c r="A16" s="11" t="str">
        <x:v>QA-015</x:v>
      </x:c>
      <x:c r="B16" s="11" t="str">
        <x:v>My</x:v>
      </x:c>
      <x:c r="C16" s="11" t="str">
        <x:v>Stats</x:v>
      </x:c>
      <x:c r="D16" s="11" t="str">
        <x:v>저장/방문 후 My 진입</x:v>
      </x:c>
      <x:c r="E16" s="11" t="str">
        <x:v>KPI가 실제 데이터와 일치</x:v>
      </x:c>
      <x:c r="F16" s="11" t="str">
        <x:v>P1</x:v>
      </x:c>
      <x:c r="G16" s="11" t="str">
        <x:v>Not run</x:v>
      </x:c>
    </x:row>
    <x:row r="17">
      <x:c r="A17" s="11" t="str">
        <x:v>QA-016</x:v>
      </x:c>
      <x:c r="B17" s="11" t="str">
        <x:v>Responsive</x:v>
      </x:c>
      <x:c r="C17" s="11" t="str">
        <x:v>Galaxy</x:v>
      </x:c>
      <x:c r="D17" s="11" t="str">
        <x:v>Android 실기기 확인</x:v>
      </x:c>
      <x:c r="E17" s="11" t="str">
        <x:v>텍스트 잘림/오버플로 없음</x:v>
      </x:c>
      <x:c r="F17" s="11" t="str">
        <x:v>P1</x:v>
      </x:c>
      <x:c r="G17" s="11" t="str">
        <x:v>Not run</x:v>
      </x:c>
    </x:row>
    <x:row r="18">
      <x:c r="A18" s="11" t="str">
        <x:v>QA-017</x:v>
      </x:c>
      <x:c r="B18" s="11" t="str">
        <x:v>Accessibility</x:v>
      </x:c>
      <x:c r="C18" s="11" t="str">
        <x:v>Text scale</x:v>
      </x:c>
      <x:c r="D18" s="11" t="str">
        <x:v>폰트 확대</x:v>
      </x:c>
      <x:c r="E18" s="11" t="str">
        <x:v>핵심 CTA 사용 가능</x:v>
      </x:c>
      <x:c r="F18" s="11" t="str">
        <x:v>P2</x:v>
      </x:c>
      <x:c r="G18" s="11" t="str">
        <x:v>Not run</x:v>
      </x:c>
    </x:row>
    <x:row r="19">
      <x:c r="A19" s="11" t="str">
        <x:v>QA-018</x:v>
      </x:c>
      <x:c r="B19" s="11" t="str">
        <x:v>Offline</x:v>
      </x:c>
      <x:c r="C19" s="11" t="str">
        <x:v>Prototype localStorage</x:v>
      </x:c>
      <x:c r="D19" s="11" t="str">
        <x:v>프로토타입 저장/방문 후 새로고침</x:v>
      </x:c>
      <x:c r="E19" s="11" t="str">
        <x:v>기록 유지</x:v>
      </x:c>
      <x:c r="F19" s="11" t="str">
        <x:v>P2</x:v>
      </x:c>
      <x:c r="G19" s="11" t="str">
        <x:v>Not run</x:v>
      </x:c>
    </x:row>
  </x:sheetData>
  <x:dataValidations count="1">
    <x:dataValidation type="list" sqref="G2:G19">
      <x:formula1>"Not run,Pass,Fail,Blocked"</x:formula1>
    </x:dataValidation>
  </x:dataValidations>
  <x:pageMargins left="0.7" right="0.7" top="0.75" bottom="0.75" header="0.3" footer="0.3"/>
</x:worksheet>
</file>